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FF5C96A2-CE57-A24D-9252-A628DEA1BFCD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69" i="2" s="1"/>
  <c r="AW69" i="12" s="1"/>
  <c r="AZ68" i="2"/>
  <c r="AZ67" i="2"/>
  <c r="AZ66" i="2"/>
  <c r="A66" i="2" s="1"/>
  <c r="AW66" i="12" s="1"/>
  <c r="AZ65" i="2"/>
  <c r="AZ64" i="2"/>
  <c r="AZ63" i="2"/>
  <c r="AZ62" i="2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53" i="2" s="1"/>
  <c r="AW53" i="12" s="1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21" i="2" s="1"/>
  <c r="AW21" i="12" s="1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3" i="18"/>
  <c r="AX83" i="12" s="1"/>
  <c r="A81" i="18"/>
  <c r="AX81" i="12" s="1"/>
  <c r="A80" i="18"/>
  <c r="AX80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0" i="2"/>
  <c r="AW60" i="12" s="1"/>
  <c r="A59" i="2"/>
  <c r="AW59" i="12" s="1"/>
  <c r="A57" i="2"/>
  <c r="AW57" i="12" s="1"/>
  <c r="A55" i="2"/>
  <c r="AW55" i="12" s="1"/>
  <c r="A54" i="2"/>
  <c r="AW54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8" i="2"/>
  <c r="AW28" i="12" s="1"/>
  <c r="A27" i="2"/>
  <c r="AW27" i="12" s="1"/>
  <c r="A25" i="2"/>
  <c r="AW25" i="12" s="1"/>
  <c r="A22" i="2"/>
  <c r="AW22" i="12" s="1"/>
  <c r="A20" i="2"/>
  <c r="AW20" i="12" s="1"/>
  <c r="A19" i="2"/>
  <c r="AW19" i="12" s="1"/>
  <c r="A18" i="2"/>
  <c r="AW18" i="12" s="1"/>
  <c r="A17" i="2"/>
  <c r="AW17" i="12" s="1"/>
  <c r="A12" i="2"/>
  <c r="AW12" i="12" s="1"/>
  <c r="A11" i="2"/>
  <c r="AW11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A3" i="12" a="1"/>
  <c r="X1" i="2" l="1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CD1" i="2"/>
  <c r="AA1" i="2"/>
  <c r="CJ1" i="2" s="1"/>
  <c r="CI1" i="2" s="1"/>
  <c r="Z1" i="2"/>
  <c r="B3" i="12" l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Z3" i="12" s="1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A3" i="12" l="1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V8" i="12" l="1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S13" i="12" s="1"/>
  <c r="AR13" i="12"/>
  <c r="T13" i="12" s="1"/>
  <c r="I13" i="12"/>
  <c r="A14" i="12" a="1"/>
  <c r="O13" i="12" l="1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O14" i="12" s="1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U14" i="12" l="1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U15" i="12" s="1"/>
  <c r="AP15" i="12"/>
  <c r="AN15" i="12"/>
  <c r="D15" i="12"/>
  <c r="J15" i="12"/>
  <c r="AA15" i="12"/>
  <c r="AD15" i="12"/>
  <c r="E15" i="12"/>
  <c r="F15" i="12" s="1"/>
  <c r="AL15" i="12"/>
  <c r="AF15" i="12"/>
  <c r="T15" i="12" s="1"/>
  <c r="AQ15" i="12"/>
  <c r="AM15" i="12"/>
  <c r="A16" i="12" a="1"/>
  <c r="S15" i="12" l="1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N17" i="12" s="1"/>
  <c r="AG17" i="12"/>
  <c r="AE17" i="12"/>
  <c r="I17" i="12"/>
  <c r="C17" i="12"/>
  <c r="A18" i="12"/>
  <c r="U17" i="12" l="1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R18" i="12" s="1"/>
  <c r="C18" i="12"/>
  <c r="AO18" i="12"/>
  <c r="D18" i="12"/>
  <c r="AQ18" i="12"/>
  <c r="A19" i="12"/>
  <c r="G18" i="12"/>
  <c r="F18" i="12"/>
  <c r="U18" i="12" l="1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Q20" i="12" s="1"/>
  <c r="AN20" i="12"/>
  <c r="AF20" i="12"/>
  <c r="AM20" i="12"/>
  <c r="E20" i="12"/>
  <c r="G20" i="12" s="1"/>
  <c r="AP20" i="12"/>
  <c r="AA20" i="12"/>
  <c r="AH20" i="12"/>
  <c r="AT20" i="12"/>
  <c r="AR20" i="12"/>
  <c r="A21" i="12"/>
  <c r="N20" i="12" l="1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T47" i="12" s="1"/>
  <c r="AM47" i="12"/>
  <c r="Y47" i="12"/>
  <c r="AC47" i="12"/>
  <c r="AA47" i="12"/>
  <c r="K47" i="12"/>
  <c r="AB47" i="12"/>
  <c r="J47" i="12"/>
  <c r="AP47" i="12"/>
  <c r="A48" i="12" a="1"/>
  <c r="Q47" i="12" l="1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P65" i="12" s="1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R65" i="12" l="1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P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P80" i="12" l="1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N88" i="12" s="1"/>
  <c r="AA88" i="12"/>
  <c r="AE88" i="12"/>
  <c r="AR88" i="12"/>
  <c r="A89" i="12" a="1"/>
  <c r="O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V101" i="12" s="1"/>
  <c r="AD101" i="12"/>
  <c r="AA101" i="12"/>
  <c r="Z101" i="12"/>
  <c r="J101" i="12"/>
  <c r="AN101" i="12"/>
  <c r="A102" i="12" a="1"/>
  <c r="R101" i="12" l="1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V123" i="12" s="1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R124" i="12" s="1"/>
  <c r="AE124" i="12"/>
  <c r="L124" i="12"/>
  <c r="AL124" i="12"/>
  <c r="AG124" i="12"/>
  <c r="AN124" i="12"/>
  <c r="A125" i="12" a="1"/>
  <c r="S124" i="12" l="1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N133" i="12" s="1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P133" i="12" s="1"/>
  <c r="AG133" i="12"/>
  <c r="AM133" i="12"/>
  <c r="AH133" i="12"/>
  <c r="L133" i="12"/>
  <c r="AP133" i="12"/>
  <c r="AN133" i="12"/>
  <c r="AF133" i="12"/>
  <c r="AS133" i="12"/>
  <c r="A134" i="12" a="1"/>
  <c r="V133" i="12" l="1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S134" i="12" l="1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R146" i="12" s="1"/>
  <c r="AH146" i="12"/>
  <c r="AT146" i="12"/>
  <c r="AQ146" i="12"/>
  <c r="AR146" i="12"/>
  <c r="B146" i="12"/>
  <c r="A147" i="12" a="1"/>
  <c r="Q146" i="12" l="1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O151" i="12" s="1"/>
  <c r="AK151" i="12"/>
  <c r="AG151" i="12"/>
  <c r="I151" i="12"/>
  <c r="L151" i="12"/>
  <c r="AT151" i="12"/>
  <c r="D151" i="12"/>
  <c r="A152" i="12" a="1"/>
  <c r="U151" i="12" l="1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U155" i="12" s="1"/>
  <c r="J155" i="12"/>
  <c r="K155" i="12"/>
  <c r="I155" i="12"/>
  <c r="AO155" i="12"/>
  <c r="AC155" i="12"/>
  <c r="AK155" i="12"/>
  <c r="B155" i="12"/>
  <c r="A156" i="12" a="1"/>
  <c r="R155" i="12" l="1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P157" i="12" s="1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R158" i="12" s="1"/>
  <c r="D158" i="12"/>
  <c r="AG158" i="12"/>
  <c r="AH158" i="12"/>
  <c r="J158" i="12"/>
  <c r="AM158" i="12"/>
  <c r="C158" i="12"/>
  <c r="A159" i="12" a="1"/>
  <c r="S158" i="12" l="1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U162" i="12" s="1"/>
  <c r="AC162" i="12"/>
  <c r="AO162" i="12"/>
  <c r="AA162" i="12"/>
  <c r="D162" i="12"/>
  <c r="AQ162" i="12"/>
  <c r="A163" i="12" a="1"/>
  <c r="P162" i="12" l="1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Q164" i="12" s="1"/>
  <c r="A165" i="12" a="1"/>
  <c r="O164" i="12" l="1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U165" i="12" s="1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O167" i="12" s="1"/>
  <c r="AP167" i="12"/>
  <c r="E167" i="12"/>
  <c r="C167" i="12"/>
  <c r="AD167" i="12"/>
  <c r="AB167" i="12"/>
  <c r="P167" i="12" s="1"/>
  <c r="A168" i="12" a="1"/>
  <c r="R167" i="12" l="1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U168" i="12" s="1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O168" i="12" l="1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U175" i="12" s="1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N175" i="12" s="1"/>
  <c r="A176" i="12" a="1"/>
  <c r="Q175" i="12" l="1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C177" i="12"/>
  <c r="K177" i="12"/>
  <c r="AR177" i="12"/>
  <c r="AK177" i="12"/>
  <c r="L177" i="12"/>
  <c r="Z177" i="12"/>
  <c r="AG177" i="12"/>
  <c r="AH177" i="12"/>
  <c r="A178" i="12" a="1"/>
  <c r="R177" i="12" l="1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O183" i="12" s="1"/>
  <c r="A184" i="12" a="1"/>
  <c r="N183" i="12" l="1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Q185" i="12" l="1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P189" i="12" s="1"/>
  <c r="B189" i="12"/>
  <c r="A190" i="12" a="1"/>
  <c r="S189" i="12" l="1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R192" i="12" s="1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P192" i="12" s="1"/>
  <c r="D192" i="12"/>
  <c r="AE192" i="12"/>
  <c r="S192" i="12" s="1"/>
  <c r="I192" i="12"/>
  <c r="AQ192" i="12"/>
  <c r="AA192" i="12"/>
  <c r="AT192" i="12"/>
  <c r="E192" i="12"/>
  <c r="A193" i="12" a="1"/>
  <c r="Q192" i="12" l="1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R196" i="12" s="1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V196" i="12" l="1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U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Q202" i="12" s="1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N202" i="12" l="1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R203" i="12" s="1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P203" i="12" s="1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O203" i="12" l="1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R207" i="12" l="1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Q211" i="12" s="1"/>
  <c r="Y211" i="12"/>
  <c r="AP211" i="12"/>
  <c r="E211" i="12"/>
  <c r="I211" i="12"/>
  <c r="AH211" i="12"/>
  <c r="V211" i="12" s="1"/>
  <c r="A212" i="12" a="1"/>
  <c r="O211" i="12" l="1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Q213" i="12" s="1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R213" i="12" l="1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V216" i="12" l="1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V223" i="12" l="1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N227" i="12" s="1"/>
  <c r="AP227" i="12"/>
  <c r="C227" i="12"/>
  <c r="AK227" i="12"/>
  <c r="K227" i="12"/>
  <c r="J227" i="12"/>
  <c r="I227" i="12"/>
  <c r="AC227" i="12"/>
  <c r="L227" i="12"/>
  <c r="A228" i="12" a="1"/>
  <c r="P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V229" i="12" s="1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P229" i="12" l="1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R231" i="12" l="1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R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A242" i="12" a="1"/>
  <c r="Q241" i="12" l="1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S242" i="12" l="1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R249" i="12" l="1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O253" i="12" s="1"/>
  <c r="A254" i="12" a="1"/>
  <c r="V253" i="12" l="1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Q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A263" i="12" a="1"/>
  <c r="O262" i="12" l="1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R266" i="12" s="1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O268" i="12" s="1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S279" i="12" l="1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R280" i="12" s="1"/>
  <c r="D280" i="12"/>
  <c r="AR280" i="12"/>
  <c r="AQ280" i="12"/>
  <c r="E280" i="12"/>
  <c r="AS280" i="12"/>
  <c r="AL280" i="12"/>
  <c r="AK280" i="12"/>
  <c r="AH280" i="12"/>
  <c r="AO280" i="12"/>
  <c r="A281" i="12" a="1"/>
  <c r="N280" i="12" l="1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N283" i="12" s="1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U292" i="12" l="1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O293" i="12" l="1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T297" i="12" l="1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O300" i="12" s="1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V300" i="12" l="1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<sst xmlns="http://schemas.openxmlformats.org/spreadsheetml/2006/main" count="2372" uniqueCount="1439">
  <si>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</si>
  <si>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</si>
  <si>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</si>
  <si>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</si>
  <si>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</si>
  <si>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</si>
  <si>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</si>
  <si>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</si>
  <si>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</si>
  <si>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</si>
  <si>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</si>
  <si>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</si>
  <si>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</si>
  <si>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</si>
  <si>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</si>
  <si>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</si>
  <si>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</si>
  <si>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</si>
  <si>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</si>
  <si>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</si>
  <si>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</si>
  <si>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</si>
  <si>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</si>
  <si>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</si>
  <si>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</si>
  <si>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</si>
  <si>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</si>
  <si>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</si>
  <si>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</si>
  <si>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</si>
  <si>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</si>
  <si>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</si>
  <si>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</si>
  <si>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</si>
  <si>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</si>
  <si>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</si>
  <si>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</si>
  <si>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</si>
  <si>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</si>
  <si>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</si>
  <si>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</si>
  <si>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</si>
  <si>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</si>
  <si>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</si>
  <si>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</si>
  <si>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</si>
  <si>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</si>
  <si>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</si>
  <si>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</si>
  <si>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</si>
  <si>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</si>
  <si>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</si>
  <si>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</si>
  <si>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</si>
  <si>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</si>
  <si>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</si>
  <si>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</si>
  <si>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</si>
  <si>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</si>
  <si>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</si>
  <si>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</si>
  <si>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</si>
  <si>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</si>
  <si>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</si>
  <si>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</si>
  <si>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</si>
  <si>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</si>
  <si>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</si>
  <si>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</si>
  <si>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</si>
  <si>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</si>
  <si>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</si>
  <si>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</si>
  <si>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</si>
  <si>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</si>
  <si>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</si>
  <si>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</si>
  <si>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</si>
  <si>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</si>
  <si>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</si>
  <si>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</si>
  <si>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</si>
  <si>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</si>
  <si>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</si>
  <si>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</si>
  <si>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</si>
  <si>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</si>
  <si>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</si>
  <si>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</si>
  <si>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</si>
  <si>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</si>
  <si>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</si>
  <si>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</si>
  <si>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</si>
  <si>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</si>
  <si>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</si>
  <si>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</si>
  <si>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</si>
  <si>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</si>
  <si>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</si>
  <si>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</si>
  <si>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</si>
  <si>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</si>
  <si>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</si>
  <si>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</si>
  <si>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</si>
  <si>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</si>
  <si>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</si>
  <si>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</si>
  <si>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</si>
  <si>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</si>
  <si>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</si>
  <si>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</si>
  <si>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</si>
  <si>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</si>
  <si>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</si>
  <si>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</si>
  <si>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</si>
  <si>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</si>
  <si>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</si>
  <si>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</si>
  <si>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</si>
  <si>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</si>
  <si>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</si>
  <si>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</si>
  <si>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</si>
  <si>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</si>
  <si>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</si>
  <si>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</si>
  <si>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</si>
  <si>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</si>
  <si>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</si>
  <si>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</si>
  <si>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</si>
  <si>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</si>
  <si>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</si>
  <si>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</si>
  <si>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</si>
  <si>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</si>
  <si>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</si>
  <si>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</si>
  <si>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</si>
  <si>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</si>
  <si>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</si>
  <si>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</si>
  <si>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</si>
  <si>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</si>
  <si>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</si>
  <si>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</si>
  <si>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</si>
  <si>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</si>
  <si>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</si>
  <si>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</si>
  <si>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</si>
  <si>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</si>
  <si>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</si>
  <si>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</si>
  <si>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</si>
  <si>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</si>
  <si>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</si>
  <si>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</si>
  <si>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</si>
  <si>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</si>
  <si>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</si>
  <si>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</si>
  <si>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</si>
  <si>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</si>
  <si>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</si>
  <si>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</si>
  <si>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</si>
  <si>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</si>
  <si>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</si>
  <si>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</si>
  <si>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</si>
  <si>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</si>
  <si>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</si>
  <si>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</si>
  <si>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</si>
  <si>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</si>
  <si>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</si>
  <si>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</si>
  <si>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</si>
  <si>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</si>
  <si>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</si>
  <si>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</si>
  <si>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</si>
  <si>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</si>
  <si>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</si>
  <si>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</si>
  <si>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</si>
  <si>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</si>
  <si>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</si>
  <si>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</si>
  <si>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</si>
  <si>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</si>
  <si>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</si>
  <si>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</si>
  <si>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</si>
  <si>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</si>
  <si>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</si>
  <si>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</si>
  <si>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</si>
  <si>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</si>
  <si>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</si>
  <si>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</si>
  <si>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</si>
  <si>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</si>
  <si>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</si>
  <si>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</si>
  <si>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</si>
  <si>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</si>
  <si>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</si>
  <si>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</si>
  <si>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</si>
  <si>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</si>
  <si>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</si>
  <si>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</si>
  <si>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</si>
  <si>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</si>
  <si>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</si>
  <si>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</si>
  <si>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</si>
  <si>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</si>
  <si>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</si>
  <si>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</si>
  <si>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</si>
  <si>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</si>
  <si>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</si>
  <si>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</si>
  <si>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</si>
  <si>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</si>
  <si>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</si>
  <si>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</si>
  <si>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</si>
  <si>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</si>
  <si>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</si>
  <si>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</si>
  <si>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</si>
  <si>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</si>
  <si>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</si>
  <si>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</si>
  <si>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</si>
  <si>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</si>
  <si>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</si>
  <si>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</si>
  <si>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</si>
  <si>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</si>
  <si>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</si>
  <si>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</si>
  <si>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</si>
  <si>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</si>
  <si>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</si>
  <si>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</si>
  <si>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</si>
  <si>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</si>
  <si>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</si>
  <si>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</si>
  <si>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</si>
  <si>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</si>
  <si>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</si>
  <si>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</si>
  <si>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</si>
  <si>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</si>
  <si>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</si>
  <si>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</si>
  <si>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</si>
  <si>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</si>
  <si>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</si>
  <si>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</si>
  <si>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</si>
  <si>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</si>
  <si>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</si>
  <si>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</si>
  <si>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</si>
  <si>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</si>
  <si>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</si>
  <si>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</si>
  <si>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</si>
  <si>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</si>
  <si>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</si>
  <si>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</si>
  <si>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</si>
  <si>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</si>
  <si>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</si>
  <si>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</si>
  <si>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</si>
  <si>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</si>
  <si>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</si>
  <si>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</si>
  <si>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</si>
  <si>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</si>
  <si>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</si>
  <si>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</si>
  <si>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</si>
  <si>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</si>
  <si>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</si>
  <si>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</si>
  <si>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</si>
  <si>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</si>
  <si>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</si>
  <si>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</si>
  <si>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</si>
  <si>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</si>
  <si>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</si>
  <si>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</si>
  <si>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</si>
  <si>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</si>
  <si>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</si>
  <si>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</si>
  <si>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</si>
  <si>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</si>
  <si>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</si>
  <si>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</si>
  <si>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</si>
  <si>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</si>
  <si>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</si>
  <si>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</si>
  <si>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</si>
  <si>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</si>
  <si>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</si>
  <si>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</si>
  <si>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</si>
  <si>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</si>
  <si>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</si>
  <si>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</si>
  <si>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</si>
  <si>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</si>
  <si>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</si>
  <si>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</si>
  <si>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</si>
  <si>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</si>
  <si>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</si>
  <si>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</si>
  <si>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</si>
  <si>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</si>
  <si>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</si>
  <si>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</si>
  <si>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</si>
  <si>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</si>
  <si>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</si>
  <si>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</si>
  <si>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</si>
  <si>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</si>
  <si>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</si>
  <si>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</si>
  <si>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</si>
  <si>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</si>
  <si>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</si>
  <si>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</si>
  <si>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</si>
  <si>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</si>
  <si>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</si>
  <si>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</si>
  <si>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</si>
  <si>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</si>
  <si>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</si>
  <si>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</si>
  <si>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</si>
  <si>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</si>
  <si>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</si>
  <si>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</si>
  <si>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</si>
  <si>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</si>
  <si>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</si>
  <si>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</si>
  <si>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</si>
  <si>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</si>
  <si>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</si>
  <si>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</si>
  <si>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</si>
  <si>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</si>
  <si>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</si>
  <si>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</si>
  <si>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</si>
  <si>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</si>
  <si>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</si>
  <si>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</si>
  <si>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</si>
  <si>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</si>
  <si>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</si>
  <si>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</si>
  <si>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</si>
  <si>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</si>
  <si>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</si>
  <si>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</si>
  <si>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</si>
  <si>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</si>
  <si>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</si>
  <si>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</si>
  <si>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</si>
  <si>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</si>
  <si>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</si>
  <si>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</si>
  <si>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</si>
  <si>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</si>
  <si>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</si>
  <si>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</si>
  <si>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</si>
  <si>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</si>
  <si>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</si>
  <si>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</si>
  <si>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</si>
  <si>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</si>
  <si>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</si>
  <si>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</si>
  <si>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</si>
  <si>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</si>
  <si>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</si>
  <si>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</si>
  <si>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</si>
  <si>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</si>
  <si>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</si>
  <si>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</si>
  <si>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</si>
  <si>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</si>
  <si>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</si>
  <si>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</si>
  <si>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</si>
  <si>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</si>
  <si>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</si>
  <si>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</si>
  <si>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</si>
  <si>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</si>
  <si>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</si>
  <si>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</si>
  <si>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</si>
  <si>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</si>
  <si>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</si>
  <si>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</si>
  <si>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</si>
  <si>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</si>
  <si>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</si>
  <si>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</si>
  <si>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</si>
  <si>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</si>
  <si>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</si>
  <si>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</si>
  <si>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</si>
  <si>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</si>
  <si>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</si>
  <si>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</si>
  <si>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</si>
  <si>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</si>
  <si>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</si>
  <si>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</si>
  <si>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</si>
  <si>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</si>
  <si>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</si>
  <si>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</si>
  <si>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</si>
  <si>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</si>
  <si>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</si>
  <si>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</si>
  <si>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</si>
  <si>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</si>
  <si>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</si>
  <si>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</si>
  <si>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</si>
  <si>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</si>
  <si>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</si>
  <si>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</si>
  <si>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</si>
  <si>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</si>
  <si>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</si>
  <si>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</si>
  <si>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</si>
  <si>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</si>
  <si>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</si>
  <si>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</si>
  <si>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</si>
  <si>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</si>
  <si>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</si>
  <si>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</si>
  <si>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</si>
  <si>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</si>
  <si>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</si>
  <si>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</si>
  <si>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</si>
  <si>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</si>
  <si>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</si>
  <si>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</si>
  <si>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</si>
  <si>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</si>
  <si>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</si>
  <si>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</si>
  <si>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</si>
  <si>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</si>
  <si>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</si>
  <si>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</si>
  <si>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</si>
  <si>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</si>
  <si>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</si>
  <si>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</si>
  <si>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</si>
  <si>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</si>
  <si>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</si>
  <si>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</si>
  <si>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</si>
  <si>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</si>
  <si>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</si>
  <si>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</si>
  <si>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</si>
  <si>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</si>
  <si>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</si>
  <si>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</si>
  <si>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</si>
  <si>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</si>
  <si>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</si>
  <si>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</si>
  <si>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</si>
  <si>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</si>
  <si>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</si>
  <si>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</si>
  <si>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</si>
  <si>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</si>
  <si>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</si>
  <si>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</si>
  <si>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</si>
  <si>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</si>
  <si>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</si>
  <si>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</si>
  <si>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</si>
  <si>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</si>
  <si>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</si>
  <si>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</si>
  <si>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</si>
  <si>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</si>
  <si>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</si>
  <si>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</si>
  <si>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</si>
  <si>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</si>
  <si>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</si>
  <si>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</si>
  <si>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</si>
  <si>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</si>
  <si>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</si>
  <si>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</si>
  <si>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</si>
  <si>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</si>
  <si>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</si>
  <si>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</si>
  <si>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</si>
  <si>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</si>
  <si>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</si>
  <si>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</si>
  <si>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</si>
  <si>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</si>
  <si>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</si>
  <si>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</si>
  <si>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</si>
  <si>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</si>
  <si>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</si>
  <si>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</si>
  <si>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</si>
  <si>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</si>
  <si>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</si>
  <si>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</si>
  <si>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</si>
  <si>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</si>
  <si>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</si>
  <si>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</si>
  <si>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</si>
  <si>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</si>
  <si>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</si>
  <si>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</si>
  <si>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</si>
  <si>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</si>
  <si>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</si>
  <si>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</si>
  <si>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</si>
  <si>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</si>
  <si>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</si>
  <si>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</si>
  <si>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</si>
  <si>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</si>
  <si>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</si>
  <si>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</si>
  <si>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</si>
  <si>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</si>
  <si>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</si>
  <si>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</si>
  <si>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</si>
  <si>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</si>
  <si>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</si>
  <si>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</si>
  <si>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</si>
  <si>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</si>
  <si>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</si>
  <si>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</si>
  <si>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</si>
  <si>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</si>
  <si>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</si>
  <si>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</si>
  <si>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</si>
  <si>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</si>
  <si>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</si>
  <si>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</si>
  <si>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</si>
  <si>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</si>
  <si>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</si>
  <si>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</si>
  <si>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</si>
  <si>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</si>
  <si>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</si>
  <si>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</si>
  <si>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</si>
  <si>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</si>
  <si>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</si>
  <si>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</si>
  <si>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</si>
  <si>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</si>
  <si>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</si>
  <si>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</si>
  <si>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</si>
  <si>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</si>
  <si>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</si>
  <si>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</si>
  <si>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</si>
  <si>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</si>
  <si>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</si>
  <si>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</si>
  <si>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</si>
  <si>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</si>
  <si>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</si>
  <si>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</si>
  <si>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</si>
  <si>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</si>
  <si>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</si>
  <si>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</si>
  <si>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</si>
  <si>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</si>
  <si>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</si>
  <si>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</si>
  <si>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</si>
  <si>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</si>
  <si>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</si>
  <si>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</si>
  <si>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</si>
  <si>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</si>
  <si>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</si>
  <si>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</si>
  <si>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</si>
  <si>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</si>
  <si>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</si>
  <si>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</si>
  <si>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</si>
  <si>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</si>
  <si>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</si>
  <si>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</si>
  <si>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</si>
  <si>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</si>
  <si>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</si>
  <si>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</si>
  <si>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</si>
  <si>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</si>
  <si>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</si>
  <si>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</si>
  <si>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</si>
  <si>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</si>
  <si>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</si>
  <si>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</si>
  <si>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</si>
  <si>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</si>
  <si>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</si>
  <si>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</si>
  <si>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</si>
  <si>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</si>
  <si>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</si>
  <si>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</si>
  <si>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</si>
  <si>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</si>
  <si>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</si>
  <si>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</si>
  <si>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</si>
  <si>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</si>
  <si>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</si>
  <si>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</si>
  <si>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</si>
  <si>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</si>
  <si>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</si>
  <si>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</si>
  <si>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</si>
  <si>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</si>
  <si>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</si>
  <si>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</si>
  <si>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</si>
  <si>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</si>
  <si>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</si>
  <si>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</si>
  <si>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</si>
  <si>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</si>
  <si>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</si>
  <si>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</si>
  <si>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</si>
  <si>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</si>
  <si>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</si>
  <si>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</si>
  <si>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</si>
  <si>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</si>
  <si>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</si>
  <si>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</si>
  <si>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</si>
  <si>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</si>
  <si>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</si>
  <si>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</si>
  <si>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</si>
  <si>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</si>
  <si>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</si>
  <si>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</si>
  <si>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</si>
  <si>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</si>
  <si>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</si>
  <si>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</si>
  <si>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</si>
  <si>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</si>
  <si>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</si>
  <si>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</si>
  <si>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</si>
  <si>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</si>
  <si>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</si>
  <si>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</si>
  <si>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</si>
  <si>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</si>
  <si>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</si>
  <si>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</si>
  <si>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</si>
  <si>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</si>
  <si>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</si>
  <si>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</si>
  <si>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</si>
  <si>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</si>
  <si>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</si>
  <si>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</si>
  <si>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</si>
  <si>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</si>
  <si>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</si>
  <si>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</si>
  <si>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</si>
  <si>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</si>
  <si>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</si>
  <si>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</si>
  <si>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</si>
  <si>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</si>
  <si>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</si>
  <si>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</si>
  <si>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</si>
  <si>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</si>
  <si>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</si>
  <si>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</si>
  <si>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</si>
  <si>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</si>
  <si>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</si>
  <si>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</si>
  <si>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</si>
  <si>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</si>
  <si>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</si>
  <si>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</si>
  <si>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</si>
  <si>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</si>
  <si>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</si>
  <si>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</si>
  <si>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</si>
  <si>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</si>
  <si>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</si>
  <si>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</si>
  <si>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</si>
  <si>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</si>
  <si>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</si>
  <si>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</si>
  <si>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</si>
  <si>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</si>
  <si>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</si>
  <si>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</si>
  <si>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</si>
  <si>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</si>
  <si>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</si>
  <si>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</si>
  <si>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</si>
  <si>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</si>
  <si>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</si>
  <si>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</si>
  <si>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</si>
  <si>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</si>
  <si>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</si>
  <si>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</si>
  <si>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</si>
  <si>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</si>
  <si>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</si>
  <si>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</si>
  <si>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</si>
  <si>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</si>
  <si>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</si>
  <si>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</si>
  <si>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</si>
  <si>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</si>
  <si>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</si>
  <si>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</si>
  <si>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</si>
  <si>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</si>
  <si>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</si>
  <si>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</si>
  <si>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</si>
  <si>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</si>
  <si>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</si>
  <si>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</si>
  <si>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</si>
  <si>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</si>
  <si>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</si>
  <si>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</si>
  <si>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</si>
  <si>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</si>
  <si>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</si>
  <si>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</si>
  <si>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</si>
  <si>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</si>
  <si>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</si>
  <si>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</si>
  <si>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</si>
  <si>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</si>
  <si>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</si>
  <si>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</si>
  <si>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</si>
  <si>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</si>
  <si>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</si>
  <si>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</si>
  <si>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</si>
  <si>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</si>
  <si>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</si>
  <si>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</si>
  <si>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</si>
  <si>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</si>
  <si>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</si>
  <si>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</si>
  <si>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</si>
  <si>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</si>
  <si>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</si>
  <si>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</si>
  <si>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</si>
  <si>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</si>
  <si>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</si>
  <si>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</si>
  <si>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</si>
  <si>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</si>
  <si>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</si>
  <si>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</si>
  <si>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</si>
  <si>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</si>
  <si>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</si>
  <si>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</si>
  <si>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</si>
  <si>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</si>
  <si>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</si>
  <si>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</si>
  <si>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</si>
  <si>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</si>
  <si>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</si>
  <si>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</si>
  <si>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</si>
  <si>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</si>
  <si>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</si>
  <si>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</si>
  <si>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</si>
  <si>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</si>
  <si>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</si>
  <si>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</si>
  <si>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</si>
  <si>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</si>
  <si>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</si>
  <si>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</si>
  <si>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</si>
  <si>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</si>
  <si>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</si>
  <si>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</si>
  <si>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</si>
  <si>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</si>
  <si>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</si>
  <si>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</si>
  <si>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</si>
  <si>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</si>
  <si>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</si>
  <si>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</si>
  <si>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</si>
  <si>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</si>
  <si>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</si>
  <si>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</si>
  <si>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</si>
  <si>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</si>
  <si>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</si>
  <si>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</si>
  <si>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</si>
  <si>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</si>
  <si>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</si>
  <si>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</si>
  <si>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</si>
  <si>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</si>
  <si>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</si>
  <si>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</si>
  <si>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</si>
  <si>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</si>
  <si>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</si>
  <si>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</si>
  <si>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</si>
  <si>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</si>
  <si>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</si>
  <si>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</si>
  <si>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</si>
  <si>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</si>
  <si>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</si>
  <si>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</si>
  <si>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</si>
  <si>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</si>
  <si>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</si>
  <si>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</si>
  <si>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</si>
  <si>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</si>
  <si>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</si>
  <si>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</si>
  <si>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</si>
  <si>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</si>
  <si>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</si>
  <si>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</si>
  <si>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</si>
  <si>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</si>
  <si>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</si>
  <si>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</si>
  <si>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</si>
  <si>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</si>
  <si>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</si>
  <si>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</si>
  <si>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</si>
  <si>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</si>
  <si>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</si>
  <si>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</si>
  <si>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</si>
  <si>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</si>
  <si>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</si>
  <si>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</si>
  <si>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</si>
  <si>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</si>
  <si>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</si>
  <si>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</si>
  <si>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</si>
  <si>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</si>
  <si>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</si>
  <si>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</si>
  <si>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</si>
  <si>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</si>
  <si>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</si>
  <si>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</si>
  <si>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</si>
  <si>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</si>
  <si>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</si>
  <si>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</si>
  <si>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</si>
  <si>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</si>
  <si>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</si>
  <si>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</si>
  <si>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</si>
  <si>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</si>
  <si>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</si>
  <si>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</si>
  <si>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</si>
  <si>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</si>
  <si>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</si>
  <si>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</si>
  <si>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</si>
  <si>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</si>
  <si>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</si>
  <si>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</si>
  <si>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</si>
  <si>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</si>
  <si>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</si>
  <si>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</si>
  <si>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</si>
  <si>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</si>
  <si>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</si>
  <si>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</si>
  <si>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</si>
  <si>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</si>
  <si>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</si>
  <si>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</si>
  <si>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</si>
  <si>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</si>
  <si>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</si>
  <si>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</si>
  <si>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</si>
  <si>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</si>
  <si>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</si>
  <si>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</si>
  <si>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</si>
  <si>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</si>
  <si>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</si>
  <si>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</si>
  <si>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</si>
  <si>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</si>
  <si>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</si>
  <si>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</si>
  <si>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</si>
  <si>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</si>
  <si>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</si>
  <si>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</si>
  <si>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</si>
  <si>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</si>
  <si>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</si>
  <si>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</si>
  <si>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</si>
  <si>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</si>
  <si>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</si>
  <si>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</si>
  <si>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</si>
  <si>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</si>
  <si>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</si>
  <si>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</si>
  <si>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</si>
  <si>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</si>
  <si>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</si>
  <si>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</si>
  <si>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</si>
  <si>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</si>
  <si>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</si>
  <si>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</si>
  <si>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</si>
  <si>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</si>
  <si>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</si>
  <si>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</si>
  <si>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</si>
  <si>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</si>
  <si>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</si>
  <si>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</si>
  <si>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</si>
  <si>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</si>
  <si>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</si>
  <si>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</si>
  <si>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</si>
  <si>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</si>
  <si>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</si>
  <si>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</si>
  <si>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</si>
  <si>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</si>
  <si>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</si>
  <si>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</si>
  <si>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</si>
  <si>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</si>
  <si>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</si>
  <si>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</si>
  <si>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</si>
  <si>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</si>
  <si>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</si>
  <si>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</si>
  <si>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</si>
  <si>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</si>
  <si>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</si>
  <si>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</si>
  <si>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</si>
  <si>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</si>
  <si>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</si>
  <si>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</si>
  <si>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</si>
  <si>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</si>
  <si>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</si>
  <si>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</si>
  <si>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</si>
  <si>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</si>
  <si>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</si>
  <si>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</si>
  <si>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</si>
  <si>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</si>
  <si>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</si>
  <si>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</si>
  <si>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</si>
  <si>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</si>
  <si>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</si>
  <si>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</si>
  <si>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</si>
  <si>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</si>
  <si>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</si>
  <si>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</si>
  <si>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</si>
  <si>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</si>
  <si>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</si>
  <si>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</si>
  <si>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</si>
  <si>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</si>
  <si>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</si>
  <si>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</si>
  <si>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</si>
  <si>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</si>
  <si>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</si>
  <si>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</si>
  <si>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</si>
  <si>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</si>
  <si>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</si>
  <si>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</si>
  <si>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</si>
  <si>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</si>
  <si>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</si>
  <si>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</si>
  <si>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</si>
  <si>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</si>
  <si>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</si>
  <si>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</si>
  <si>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</si>
  <si>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</si>
  <si>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</si>
  <si>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</si>
  <si>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</si>
  <si>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</si>
  <si>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</si>
  <si>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</si>
  <si>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</si>
  <si>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</si>
  <si>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</si>
  <si>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</si>
  <si>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</si>
  <si>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</si>
  <si>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</si>
  <si>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</si>
  <si>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</si>
  <si>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</si>
  <si>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</si>
  <si>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</si>
  <si>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</si>
  <si>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</si>
  <si>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</si>
  <si>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</si>
  <si>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</si>
  <si>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</si>
  <si>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</si>
  <si>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</si>
  <si>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</si>
  <si>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</si>
  <si>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</si>
  <si>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</si>
  <si>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</si>
  <si>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</si>
  <si>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</si>
  <si>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</si>
  <si>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</si>
  <si>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</si>
  <si>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</si>
  <si>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</si>
  <si>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</si>
  <si>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</si>
  <si>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</si>
  <si>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</si>
  <si>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</si>
  <si>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</si>
  <si>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</si>
  <si>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</si>
  <si>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</si>
  <si>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</si>
  <si>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</si>
  <si>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</si>
  <si>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</si>
  <si>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</si>
  <si>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</si>
  <si>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</si>
  <si>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</si>
  <si>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</si>
  <si>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</si>
  <si>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</si>
  <si>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</si>
  <si>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</si>
  <si>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</si>
  <si>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</si>
  <si>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</si>
  <si>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</si>
  <si>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</si>
  <si>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</si>
  <si>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</si>
  <si>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</si>
  <si>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</si>
  <si>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</si>
  <si>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</si>
  <si>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</si>
  <si>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</si>
  <si>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</si>
  <si>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</si>
  <si>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</si>
  <si>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</si>
  <si>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</si>
  <si>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</si>
  <si>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</si>
  <si>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</si>
  <si>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</si>
  <si>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</si>
  <si>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</si>
  <si>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</si>
  <si>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</si>
  <si>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</si>
  <si>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</si>
  <si>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</si>
  <si>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</si>
  <si>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</si>
  <si>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</si>
  <si>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</si>
  <si>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</si>
  <si>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</si>
  <si>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</si>
  <si>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</si>
  <si>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</si>
  <si>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</si>
  <si>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</si>
  <si>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</si>
  <si>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</si>
  <si>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</si>
  <si>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</si>
  <si>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</si>
  <si>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</si>
  <si>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</si>
  <si>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</si>
  <si>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</si>
  <si>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</si>
  <si>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</si>
  <si>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</si>
  <si>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</si>
  <si>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</si>
  <si>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</si>
  <si>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</si>
  <si>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</si>
  <si>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</si>
  <si>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</si>
  <si>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</si>
  <si>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</si>
  <si>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</si>
  <si>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</si>
  <si>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</si>
  <si>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</si>
  <si>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</si>
  <si>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</si>
  <si>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</si>
  <si>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</si>
  <si>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</si>
  <si>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</si>
  <si>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</si>
  <si>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</si>
  <si>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</si>
  <si>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</si>
  <si>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</si>
  <si>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</si>
  <si>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</si>
  <si>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</si>
  <si>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</si>
  <si>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</si>
  <si>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</si>
  <si>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</si>
  <si>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</si>
  <si>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</si>
  <si>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</si>
  <si>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</si>
  <si>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</si>
  <si>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</si>
  <si>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</si>
  <si>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</si>
  <si>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</si>
  <si>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</si>
  <si>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</si>
  <si>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</si>
  <si>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</si>
  <si>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</si>
  <si>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</si>
  <si>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</si>
  <si>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</si>
  <si>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</si>
  <si>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</si>
  <si>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</si>
  <si>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</si>
  <si>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</si>
  <si>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</si>
  <si>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</si>
  <si>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</si>
  <si>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</si>
  <si>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</si>
  <si>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</si>
  <si>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</si>
  <si>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</si>
  <si>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</si>
  <si>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</si>
  <si>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</si>
  <si>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</si>
  <si>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</si>
  <si>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</si>
  <si>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</si>
  <si>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</si>
  <si>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</si>
  <si>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</si>
  <si>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</si>
  <si>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</si>
  <si>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</si>
  <si>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</si>
  <si>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</si>
  <si>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</si>
  <si>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</si>
  <si>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</si>
  <si>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</si>
  <si>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</si>
  <si>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</si>
  <si>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</si>
  <si>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</si>
  <si>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</si>
  <si>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</si>
  <si>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</si>
  <si>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</si>
  <si>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</si>
  <si>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</si>
  <si>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</si>
  <si>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</si>
  <si>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</si>
  <si>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</si>
  <si>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</si>
  <si>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</si>
  <si>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</si>
  <si>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</si>
  <si>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</si>
  <si>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</si>
  <si>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</si>
  <si>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</si>
  <si>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</si>
  <si>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</si>
  <si>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</si>
  <si>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</si>
  <si>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</si>
  <si>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</si>
  <si>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</si>
  <si>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</si>
  <si>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</si>
  <si>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</si>
  <si>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</si>
  <si>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</si>
  <si>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</si>
  <si>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</si>
  <si>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</si>
  <si>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</si>
  <si>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</si>
  <si>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</si>
  <si>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</si>
  <si>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</si>
  <si>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</si>
  <si>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</si>
  <si>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</si>
  <si>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</si>
  <si>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</si>
  <si>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</si>
  <si>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</si>
  <si>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</si>
  <si>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</si>
  <si>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</si>
  <si>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</si>
  <si>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</si>
  <si>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</si>
  <si>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</si>
  <si>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</si>
  <si>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</si>
  <si>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</si>
  <si>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</si>
  <si>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</si>
  <si>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</si>
  <si>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</si>
  <si>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</si>
  <si>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</si>
  <si>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</si>
  <si>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</si>
  <si>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</si>
  <si>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</si>
  <si>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</si>
  <si>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</si>
  <si>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</si>
  <si>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</si>
  <si>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</si>
  <si>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</si>
  <si>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</si>
  <si>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</si>
  <si>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</si>
  <si>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</si>
  <si>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</si>
  <si>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</si>
  <si>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</si>
  <si>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</si>
  <si>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</si>
  <si>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</si>
  <si>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</si>
  <si>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</si>
  <si>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</si>
  <si>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</si>
  <si>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</si>
  <si>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</si>
  <si>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</si>
  <si>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</si>
  <si>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</si>
  <si>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</si>
  <si>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</si>
  <si>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</si>
  <si>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</si>
  <si>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</si>
  <si>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</si>
  <si>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</si>
  <si>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</si>
  <si>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</si>
  <si>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</si>
  <si>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</si>
  <si>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</si>
  <si>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</si>
  <si>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</si>
  <si>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</si>
  <si>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</si>
  <si>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</si>
  <si>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</si>
  <si>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</si>
  <si>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</si>
  <si>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</si>
  <si>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</si>
  <si>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</si>
  <si>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</si>
  <si>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</si>
  <si>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</si>
  <si>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</si>
  <si>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</si>
  <si>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</si>
  <si>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</si>
  <si>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</si>
  <si>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</si>
  <si>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</si>
  <si>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</si>
  <si>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</si>
  <si>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</si>
  <si>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</si>
  <si>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</si>
  <si>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</si>
  <si>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</si>
  <si>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</si>
  <si>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</si>
  <si>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</si>
  <si>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</si>
  <si>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</si>
  <si>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</si>
  <si>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</si>
  <si>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roster</t>
  </si>
  <si>
    <t>周二单人收晚到45分; 周四只休息0.5，需+0.5</t>
  </si>
  <si>
    <t>周二存钱＋1小时；周四同事受伤，来店帮忙 3-5pm；周五带新人training无休息，排班+1小时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</si>
</sst>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0"/>
      <color rgb="FF0000FF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D5" sqref="AD5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10331</v>
      </c>
      <c r="B2" s="81" t="s">
        <v>1402</v>
      </c>
      <c r="C2" s="91" t="s">
        <v>925</v>
      </c>
      <c r="D2" s="101"/>
      <c r="E2" s="84"/>
      <c r="F2" s="92">
        <f>BA2-BB2</f>
        <v>0</v>
      </c>
      <c r="G2" s="84">
        <v>0.6875</v>
      </c>
      <c r="H2" s="84">
        <v>0.89583333333333337</v>
      </c>
      <c r="I2" s="92">
        <f>BF2-BG2</f>
        <v>5.0000000000000009</v>
      </c>
      <c r="J2" s="84">
        <v>0.45833333333333331</v>
      </c>
      <c r="K2" s="84">
        <v>0.89583333333333337</v>
      </c>
      <c r="L2" s="92">
        <f>BK2-BL2</f>
        <v>9.5000000000000018</v>
      </c>
      <c r="M2" s="84"/>
      <c r="N2" s="101"/>
      <c r="O2" s="92">
        <f>BP2-BQ2</f>
        <v>0</v>
      </c>
      <c r="P2" s="101">
        <v>0.47916666666666669</v>
      </c>
      <c r="Q2" s="84">
        <v>0.9375</v>
      </c>
      <c r="R2" s="92">
        <f>BU2-BV2</f>
        <v>10</v>
      </c>
      <c r="S2" s="84">
        <v>0.47916666666666669</v>
      </c>
      <c r="T2" s="84">
        <v>0.9375</v>
      </c>
      <c r="U2" s="92">
        <f>BZ2-CA2</f>
        <v>10</v>
      </c>
      <c r="V2" s="84"/>
      <c r="W2" s="84"/>
      <c r="X2" s="92">
        <f>CE2-CF2</f>
        <v>0</v>
      </c>
      <c r="Y2" s="92"/>
      <c r="Z2" s="92"/>
      <c r="AA2" s="92"/>
      <c r="AB2" s="92">
        <f>SUM(F2,I2,L2,O2,R2,U2,X2)</f>
        <v>34.5</v>
      </c>
      <c r="AC2" s="93"/>
      <c r="AD2" s="77">
        <v>1</v>
      </c>
      <c r="AE2" s="94">
        <f t="shared" ref="AE2:AE40" si="1">SUMIF($BC$1:$CI$1,AE$1,$BC2:$CI2)+AD2</f>
        <v>25.000000000000004</v>
      </c>
      <c r="AF2" s="77"/>
      <c r="AG2" s="94">
        <f t="shared" ref="AG2:AG40" si="2">SUMIF($BC$1:$CI$1,AG$1,$BC2:$CI2)+AF2</f>
        <v>10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0.50000000000000089</v>
      </c>
      <c r="AN2" s="77"/>
      <c r="AO2" s="94">
        <f t="shared" ref="AO2:AO40" si="6">SUMIF($BC$1:$CI$1,AO$1,$BC2:$CI2)+AN2</f>
        <v>0</v>
      </c>
      <c r="AP2" s="95">
        <f>CK2</f>
        <v>4</v>
      </c>
      <c r="AQ2" s="77"/>
      <c r="AR2" s="77"/>
      <c r="AS2" s="77"/>
      <c r="AT2" s="44">
        <f>AE2+AG2+AI2+AK2+AM2+AO2+SUM(AQ2:AS2)</f>
        <v>35.5</v>
      </c>
      <c r="AU2" s="78" t="s">
        <v>1436</v>
      </c>
      <c r="AV2" s="5"/>
      <c r="AW2" s="5"/>
      <c r="AX2" s="5"/>
      <c r="AY2" s="5"/>
      <c r="AZ2" s="24">
        <f>VLOOKUP(C2,Employees!D:I,6,FALSE)</f>
        <v>10331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5.0000000000000009</v>
      </c>
      <c r="BG2" s="5">
        <f>IF(BF2&gt;$AY$1,1,IF(BF2&gt;=$AX$1,0.5,0))</f>
        <v>0</v>
      </c>
      <c r="BH2" s="5">
        <f>BF2-BG2-BI2-BJ2</f>
        <v>5.0000000000000009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10.500000000000002</v>
      </c>
      <c r="BL2" s="5">
        <f>IF(BK2&gt;$AY$1,1,IF(BK2&gt;=$AX$1,0.5,0))</f>
        <v>1</v>
      </c>
      <c r="BM2" s="5">
        <f>BK2-BL2-BN2-BO2</f>
        <v>9.5000000000000018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11</v>
      </c>
      <c r="BV2" s="5">
        <f>IF(BU2&gt;$AY$1,1,IF(BU2&gt;=$AX$1,0.5,0))</f>
        <v>1</v>
      </c>
      <c r="BW2" s="5">
        <f>BU2-BV2-BX2-BY2</f>
        <v>9.5</v>
      </c>
      <c r="BX2" s="5">
        <f>IF(AND(Q2&gt;$AV$1, P2&lt;$AW$1),(MIN(Q2,$AW$1)-MAX(P2,$AV$1))*24,0)</f>
        <v>0.50000000000000089</v>
      </c>
      <c r="BY2" s="5">
        <f t="shared" ref="BY2:BY65" si="11">IF(Q2&gt;$AW$1,(Q2-MAX(P2,$AW$1))*24,0)</f>
        <v>0</v>
      </c>
      <c r="BZ2" s="5">
        <f t="shared" ref="BZ2" si="12">IF(ISBLANK(S2),0,(T2-S2)*24)</f>
        <v>11</v>
      </c>
      <c r="CA2" s="5">
        <f>IF(BZ2&gt;$AY$1,1,IF(BZ2&gt;=$AX$1,0.5,0))</f>
        <v>1</v>
      </c>
      <c r="CB2" s="5">
        <f>BZ2-CA2-CC2-CD2</f>
        <v>9.5</v>
      </c>
      <c r="CC2" s="5">
        <f>IF(AND(T2&gt;$AV$1, S2&lt;$AW$1),(MIN(T2,$AW$1)-MAX(S2,$AV$1))*24,0)</f>
        <v>0.50000000000000089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10460</v>
      </c>
      <c r="B3" s="81" t="s">
        <v>1402</v>
      </c>
      <c r="C3" s="91" t="s">
        <v>1254</v>
      </c>
      <c r="D3" s="101">
        <v>0.6875</v>
      </c>
      <c r="E3" s="84">
        <v>0.89583333333333337</v>
      </c>
      <c r="F3" s="92">
        <f t="shared" ref="F3:F69" si="15">BA3-BB3</f>
        <v>5.0000000000000009</v>
      </c>
      <c r="G3" s="84"/>
      <c r="H3" s="84"/>
      <c r="I3" s="92">
        <f t="shared" ref="I3:I69" si="16">BF3-BG3</f>
        <v>0</v>
      </c>
      <c r="J3" s="84"/>
      <c r="K3" s="84"/>
      <c r="L3" s="92">
        <f t="shared" ref="L3:L69" si="17">BK3-BL3</f>
        <v>0</v>
      </c>
      <c r="M3" s="84">
        <v>0.47916666666666669</v>
      </c>
      <c r="N3" s="101">
        <v>0.9375</v>
      </c>
      <c r="O3" s="92">
        <f t="shared" ref="O3:O69" si="18">BP3-BQ3</f>
        <v>10</v>
      </c>
      <c r="P3" s="101">
        <v>0.79166666666666663</v>
      </c>
      <c r="Q3" s="84">
        <v>0.9375</v>
      </c>
      <c r="R3" s="92">
        <f t="shared" ref="R3:R69" si="19">BU3-BV3</f>
        <v>3.5000000000000009</v>
      </c>
      <c r="S3" s="84">
        <v>0.79166666666666663</v>
      </c>
      <c r="T3" s="84">
        <v>0.9375</v>
      </c>
      <c r="U3" s="92">
        <f t="shared" ref="U3:U69" si="20">BZ3-CA3</f>
        <v>3.5000000000000009</v>
      </c>
      <c r="V3" s="84">
        <v>0.6875</v>
      </c>
      <c r="W3" s="84">
        <v>0.9375</v>
      </c>
      <c r="X3" s="92">
        <f t="shared" ref="X3:X69" si="21">CE3-CF3</f>
        <v>5.5</v>
      </c>
      <c r="Y3" s="92"/>
      <c r="Z3" s="92"/>
      <c r="AA3" s="92"/>
      <c r="AB3" s="92">
        <f t="shared" ref="AB3:AB69" si="22">SUM(F3,I3,L3,O3,R3,U3,X3)</f>
        <v>27.5</v>
      </c>
      <c r="AC3" s="93"/>
      <c r="AD3" s="77">
        <v>7</v>
      </c>
      <c r="AE3" s="94">
        <f t="shared" si="1"/>
        <v>24.5</v>
      </c>
      <c r="AF3" s="77"/>
      <c r="AG3" s="94">
        <f t="shared" si="2"/>
        <v>3.5000000000000009</v>
      </c>
      <c r="AH3" s="78"/>
      <c r="AI3" s="94">
        <f t="shared" si="3"/>
        <v>5.5</v>
      </c>
      <c r="AJ3" s="77"/>
      <c r="AK3" s="94">
        <f t="shared" si="4"/>
        <v>0</v>
      </c>
      <c r="AL3" s="77"/>
      <c r="AM3" s="94">
        <f t="shared" si="5"/>
        <v>1.0000000000000018</v>
      </c>
      <c r="AN3" s="77"/>
      <c r="AO3" s="94">
        <f t="shared" si="6"/>
        <v>0</v>
      </c>
      <c r="AP3" s="95">
        <f t="shared" ref="AP3:AP69" si="23">CK3</f>
        <v>5</v>
      </c>
      <c r="AQ3" s="77"/>
      <c r="AR3" s="77"/>
      <c r="AS3" s="77"/>
      <c r="AT3" s="44">
        <f t="shared" ref="AT3:AT69" si="24">AE3+AG3+AI3+AK3+AM3+AO3+SUM(AQ3:AS3)</f>
        <v>34.5</v>
      </c>
      <c r="AU3" s="78"/>
      <c r="AV3" s="5"/>
      <c r="AW3" s="5"/>
      <c r="AX3" s="5"/>
      <c r="AY3" s="5"/>
      <c r="AZ3" s="24">
        <f>VLOOKUP(C3,Employees!D:I,6,FALSE)</f>
        <v>10460</v>
      </c>
      <c r="BA3" s="5">
        <f t="shared" ref="BA3:BA66" si="25">IF(ISBLANK(D3),0,(E3-D3)*24)</f>
        <v>5.0000000000000009</v>
      </c>
      <c r="BB3" s="5">
        <f t="shared" ref="BB3:BB66" si="26">IF(BA3&gt;$AY$1,1,IF(BA3&gt;=$AX$1,0.5,0))</f>
        <v>0</v>
      </c>
      <c r="BC3" s="5">
        <f t="shared" ref="BC3:BC66" si="27">BA3-BB3-BD3-BE3</f>
        <v>5.0000000000000009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11</v>
      </c>
      <c r="BQ3" s="5">
        <f t="shared" ref="BQ3:BQ66" si="40">IF(BP3&gt;$AY$1,1,IF(BP3&gt;=$AX$1,0.5,0))</f>
        <v>1</v>
      </c>
      <c r="BR3" s="5">
        <f t="shared" ref="BR3:BR66" si="41">BP3-BQ3-BS3-BT3</f>
        <v>9.5</v>
      </c>
      <c r="BS3" s="5">
        <f t="shared" ref="BS3:BS66" si="42">IF(AND(N3&gt;$AV$1, M3&lt;$AW$1),(MIN(N3,$AW$1)-MAX(M3,$AV$1))*24,0)</f>
        <v>0.50000000000000089</v>
      </c>
      <c r="BT3" s="5">
        <f t="shared" ref="BT3:BT66" si="43">IF(N3&gt;$AW$1,(N3-MAX(M3,$AW$1))*24,0)</f>
        <v>0</v>
      </c>
      <c r="BU3" s="5">
        <f t="shared" ref="BU3:BU66" si="44">IF(ISBLANK(P3),0,(Q3-P3)*24)</f>
        <v>3.5000000000000009</v>
      </c>
      <c r="BV3" s="5">
        <f t="shared" ref="BV3:BV66" si="45">IF(BU3&gt;$AY$1,1,IF(BU3&gt;=$AX$1,0.5,0))</f>
        <v>0</v>
      </c>
      <c r="BW3" s="5">
        <f t="shared" ref="BW3:BW66" si="46">BU3-BV3-BX3-BY3</f>
        <v>3</v>
      </c>
      <c r="BX3" s="5">
        <f t="shared" ref="BX3:BX66" si="47">IF(AND(Q3&gt;$AV$1, P3&lt;$AW$1),(MIN(Q3,$AW$1)-MAX(P3,$AV$1))*24,0)</f>
        <v>0.50000000000000089</v>
      </c>
      <c r="BY3" s="5">
        <f t="shared" si="11"/>
        <v>0</v>
      </c>
      <c r="BZ3" s="5">
        <f t="shared" ref="BZ3:BZ66" si="48">IF(ISBLANK(S3),0,(T3-S3)*24)</f>
        <v>3.5000000000000009</v>
      </c>
      <c r="CA3" s="5">
        <f t="shared" ref="CA3:CA66" si="49">IF(BZ3&gt;$AY$1,1,IF(BZ3&gt;=$AX$1,0.5,0))</f>
        <v>0</v>
      </c>
      <c r="CB3" s="5">
        <f t="shared" ref="CB3:CB66" si="50">BZ3-CA3-CC3-CD3</f>
        <v>3</v>
      </c>
      <c r="CC3" s="5">
        <f t="shared" ref="CC3:CC66" si="51">IF(AND(T3&gt;$AV$1, S3&lt;$AW$1),(MIN(T3,$AW$1)-MAX(S3,$AV$1))*24,0)</f>
        <v>0.50000000000000089</v>
      </c>
      <c r="CD3" s="5">
        <f t="shared" ref="CD3:CD66" si="52">IF(T3&gt;$AW$1,(T3-MAX(S3,$AW$1))*24,0)</f>
        <v>0</v>
      </c>
      <c r="CE3" s="5">
        <f t="shared" ref="CE3:CE66" si="53">IF(ISBLANK(V3),0,(W3-V3)*24)</f>
        <v>6</v>
      </c>
      <c r="CF3" s="5">
        <f t="shared" ref="CF3:CF66" si="54">IF(CE3&gt;$AY$1,1,IF(CE3&gt;=$AX$1,0.5,0))</f>
        <v>0.5</v>
      </c>
      <c r="CG3" s="5">
        <f t="shared" ref="CG3:CG66" si="55">CE3-CF3-CH3-CI3</f>
        <v>4.9999999999999991</v>
      </c>
      <c r="CH3" s="5">
        <f t="shared" ref="CH3:CH66" si="56">IF(AND(W3&gt;$AV$1, V3&lt;$AW$1),(MIN(W3,$AW$1)-MAX(V3,$AV$1))*24,0)</f>
        <v>0.50000000000000089</v>
      </c>
      <c r="CI3" s="5">
        <f t="shared" ref="CI3:CI66" si="57">IF(W3&gt;$AW$1,(W3-MAX(V3,$AW$1))*24,0)</f>
        <v>0</v>
      </c>
      <c r="CJ3" s="5"/>
      <c r="CK3" s="4">
        <f t="shared" si="14"/>
        <v>5</v>
      </c>
    </row>
    <row r="4" spans="1:89" ht="38" customHeight="1">
      <c r="A4" s="74">
        <f t="shared" si="0"/>
        <v>10505</v>
      </c>
      <c r="B4" s="81" t="s">
        <v>1402</v>
      </c>
      <c r="C4" s="85" t="s">
        <v>1381</v>
      </c>
      <c r="D4" s="84">
        <v>0.47916666666666669</v>
      </c>
      <c r="E4" s="84">
        <v>0.6875</v>
      </c>
      <c r="F4" s="92">
        <f t="shared" si="15"/>
        <v>5</v>
      </c>
      <c r="G4" s="84"/>
      <c r="H4" s="84"/>
      <c r="I4" s="92">
        <f t="shared" si="16"/>
        <v>0</v>
      </c>
      <c r="J4" s="84"/>
      <c r="K4" s="84"/>
      <c r="L4" s="92">
        <f t="shared" si="17"/>
        <v>0</v>
      </c>
      <c r="M4" s="84">
        <v>0.75</v>
      </c>
      <c r="N4" s="84">
        <v>0.9375</v>
      </c>
      <c r="O4" s="92">
        <f t="shared" si="18"/>
        <v>4.5</v>
      </c>
      <c r="P4" s="75"/>
      <c r="Q4" s="75"/>
      <c r="R4" s="92">
        <f t="shared" si="19"/>
        <v>0</v>
      </c>
      <c r="S4" s="75"/>
      <c r="T4" s="75"/>
      <c r="U4" s="92">
        <f t="shared" si="20"/>
        <v>0</v>
      </c>
      <c r="V4" s="84"/>
      <c r="W4" s="84"/>
      <c r="X4" s="92">
        <f t="shared" si="21"/>
        <v>0</v>
      </c>
      <c r="Y4" s="92"/>
      <c r="Z4" s="92"/>
      <c r="AA4" s="92"/>
      <c r="AB4" s="92">
        <f t="shared" si="22"/>
        <v>9.5</v>
      </c>
      <c r="AC4" s="93"/>
      <c r="AD4" s="77"/>
      <c r="AE4" s="94">
        <f t="shared" si="1"/>
        <v>9</v>
      </c>
      <c r="AF4" s="77"/>
      <c r="AG4" s="94">
        <f t="shared" si="2"/>
        <v>0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0.50000000000000089</v>
      </c>
      <c r="AN4" s="77"/>
      <c r="AO4" s="94">
        <f t="shared" si="6"/>
        <v>0</v>
      </c>
      <c r="AP4" s="95">
        <f t="shared" si="23"/>
        <v>2</v>
      </c>
      <c r="AQ4" s="77"/>
      <c r="AR4" s="77"/>
      <c r="AS4" s="77"/>
      <c r="AT4" s="44">
        <f t="shared" si="24"/>
        <v>9.5</v>
      </c>
      <c r="AU4" s="78"/>
      <c r="AV4" s="5"/>
      <c r="AW4" s="5"/>
      <c r="AX4" s="5"/>
      <c r="AY4" s="5"/>
      <c r="AZ4" s="24">
        <f>VLOOKUP(C4,Employees!D:I,6,FALSE)</f>
        <v>10505</v>
      </c>
      <c r="BA4" s="5">
        <f t="shared" si="25"/>
        <v>5</v>
      </c>
      <c r="BB4" s="5">
        <f t="shared" si="26"/>
        <v>0</v>
      </c>
      <c r="BC4" s="5">
        <f t="shared" si="27"/>
        <v>5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4.5</v>
      </c>
      <c r="BQ4" s="5">
        <f t="shared" si="40"/>
        <v>0</v>
      </c>
      <c r="BR4" s="5">
        <f t="shared" si="41"/>
        <v>3.9999999999999991</v>
      </c>
      <c r="BS4" s="5">
        <f t="shared" si="42"/>
        <v>0.50000000000000089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2</v>
      </c>
    </row>
    <row r="5" spans="1:89" ht="38" customHeight="1">
      <c r="A5" s="74" t="str">
        <f t="shared" si="0"/>
        <v/>
      </c>
      <c r="B5" s="81"/>
      <c r="C5" s="85"/>
      <c r="D5" s="75"/>
      <c r="E5" s="75"/>
      <c r="F5" s="92">
        <f t="shared" si="15"/>
        <v>0</v>
      </c>
      <c r="G5" s="84"/>
      <c r="H5" s="84"/>
      <c r="I5" s="92">
        <f t="shared" si="16"/>
        <v>0</v>
      </c>
      <c r="J5" s="84"/>
      <c r="K5" s="84"/>
      <c r="L5" s="92">
        <f t="shared" si="17"/>
        <v>0</v>
      </c>
      <c r="M5" s="75"/>
      <c r="N5" s="75"/>
      <c r="O5" s="92">
        <f t="shared" si="18"/>
        <v>0</v>
      </c>
      <c r="P5" s="75"/>
      <c r="Q5" s="75"/>
      <c r="R5" s="92">
        <f t="shared" si="19"/>
        <v>0</v>
      </c>
      <c r="S5" s="75"/>
      <c r="T5" s="75"/>
      <c r="U5" s="92">
        <f t="shared" si="20"/>
        <v>0</v>
      </c>
      <c r="V5" s="84"/>
      <c r="W5" s="84"/>
      <c r="X5" s="92">
        <f t="shared" si="21"/>
        <v>0</v>
      </c>
      <c r="Y5" s="92"/>
      <c r="Z5" s="92"/>
      <c r="AA5" s="92"/>
      <c r="AB5" s="92">
        <f t="shared" si="22"/>
        <v>0</v>
      </c>
      <c r="AC5" s="93"/>
      <c r="AD5" s="78"/>
      <c r="AE5" s="94">
        <f t="shared" si="1"/>
        <v>0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0</v>
      </c>
      <c r="AQ5" s="77"/>
      <c r="AR5" s="77"/>
      <c r="AS5" s="77"/>
      <c r="AT5" s="44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4" t="str">
        <f t="shared" si="0"/>
        <v/>
      </c>
      <c r="B6" s="81"/>
      <c r="C6" s="85"/>
      <c r="D6" s="84"/>
      <c r="E6" s="84"/>
      <c r="F6" s="92">
        <f t="shared" si="15"/>
        <v>0</v>
      </c>
      <c r="G6" s="84"/>
      <c r="H6" s="84"/>
      <c r="I6" s="92">
        <f t="shared" si="16"/>
        <v>0</v>
      </c>
      <c r="J6" s="84"/>
      <c r="K6" s="84"/>
      <c r="L6" s="92">
        <f t="shared" si="17"/>
        <v>0</v>
      </c>
      <c r="M6" s="75"/>
      <c r="N6" s="75"/>
      <c r="O6" s="92">
        <f t="shared" si="18"/>
        <v>0</v>
      </c>
      <c r="P6" s="75"/>
      <c r="Q6" s="75"/>
      <c r="R6" s="92">
        <f t="shared" si="19"/>
        <v>0</v>
      </c>
      <c r="S6" s="75"/>
      <c r="T6" s="75"/>
      <c r="U6" s="92">
        <f t="shared" si="20"/>
        <v>0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0</v>
      </c>
      <c r="AC6" s="93"/>
      <c r="AD6" s="78"/>
      <c r="AE6" s="94">
        <f t="shared" si="1"/>
        <v>0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 t="str">
        <f t="shared" si="0"/>
        <v/>
      </c>
      <c r="B7" s="73"/>
      <c r="C7" s="97"/>
      <c r="D7" s="75"/>
      <c r="E7" s="75"/>
      <c r="F7" s="92">
        <f t="shared" si="15"/>
        <v>0</v>
      </c>
      <c r="G7" s="75"/>
      <c r="H7" s="75"/>
      <c r="I7" s="92">
        <f t="shared" si="16"/>
        <v>0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75"/>
      <c r="T7" s="75"/>
      <c r="U7" s="92">
        <f t="shared" si="20"/>
        <v>0</v>
      </c>
      <c r="V7" s="84"/>
      <c r="W7" s="84"/>
      <c r="X7" s="92">
        <f t="shared" si="21"/>
        <v>0</v>
      </c>
      <c r="Y7" s="92"/>
      <c r="Z7" s="92"/>
      <c r="AA7" s="92"/>
      <c r="AB7" s="92">
        <f t="shared" si="22"/>
        <v>0</v>
      </c>
      <c r="AC7" s="93"/>
      <c r="AD7" s="78"/>
      <c r="AE7" s="94">
        <f t="shared" si="1"/>
        <v>0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 t="str">
        <f t="shared" si="0"/>
        <v/>
      </c>
      <c r="B8" s="73"/>
      <c r="C8" s="98"/>
      <c r="D8" s="75"/>
      <c r="E8" s="75"/>
      <c r="F8" s="92">
        <f t="shared" si="15"/>
        <v>0</v>
      </c>
      <c r="G8" s="75"/>
      <c r="H8" s="75"/>
      <c r="I8" s="92">
        <f t="shared" si="16"/>
        <v>0</v>
      </c>
      <c r="J8" s="76"/>
      <c r="K8" s="75"/>
      <c r="L8" s="92">
        <f t="shared" si="17"/>
        <v>0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73"/>
      <c r="C9" s="98"/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9"/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9"/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E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10331</v>
      </c>
      <c r="B2" s="81" t="s">
        <v>1402</v>
      </c>
      <c r="C2" s="91" t="s">
        <v>925</v>
      </c>
      <c r="D2" s="75">
        <v>0.6875</v>
      </c>
      <c r="E2" s="75">
        <v>0.89583333333333337</v>
      </c>
      <c r="F2" s="92">
        <f>BA2-BB2</f>
        <v>5.0000000000000009</v>
      </c>
      <c r="G2" s="75"/>
      <c r="H2" s="76"/>
      <c r="I2" s="92">
        <f>BF2-BG2</f>
        <v>0</v>
      </c>
      <c r="J2" s="75">
        <v>0.47916666666666669</v>
      </c>
      <c r="K2" s="76">
        <v>0.89583333333333337</v>
      </c>
      <c r="L2" s="92">
        <f>BK2-BL2</f>
        <v>9</v>
      </c>
      <c r="M2" s="75"/>
      <c r="N2" s="76"/>
      <c r="O2" s="92">
        <f>BP2-BQ2</f>
        <v>0</v>
      </c>
      <c r="P2" s="75">
        <v>0.47916666666666669</v>
      </c>
      <c r="Q2" s="76">
        <v>0.9375</v>
      </c>
      <c r="R2" s="92">
        <f>BU2-BV2</f>
        <v>10</v>
      </c>
      <c r="S2" s="75">
        <v>0.625</v>
      </c>
      <c r="T2" s="75">
        <v>0.9375</v>
      </c>
      <c r="U2" s="92">
        <f>BZ2-CA2</f>
        <v>7</v>
      </c>
      <c r="V2" s="75">
        <v>0.77083333333333337</v>
      </c>
      <c r="W2" s="103">
        <v>0.9375</v>
      </c>
      <c r="X2" s="92">
        <f>CE2-CF2</f>
        <v>3.9999999999999991</v>
      </c>
      <c r="Y2" s="92"/>
      <c r="Z2" s="92"/>
      <c r="AA2" s="92"/>
      <c r="AB2" s="96">
        <f>SUM(F2,I2,L2,O2,R2,U2,X2)</f>
        <v>35</v>
      </c>
      <c r="AC2" s="93"/>
      <c r="AD2" s="78">
        <v>5</v>
      </c>
      <c r="AE2" s="94">
        <f>SUMIF($BC$1:$CI$1,AE$1,$BC2:$CI2)+AD2</f>
        <v>28.5</v>
      </c>
      <c r="AF2" s="78"/>
      <c r="AG2" s="94">
        <f>SUMIF($BC$1:$CI$1,AG$1,$BC2:$CI2)+AF2</f>
        <v>7</v>
      </c>
      <c r="AH2" s="78"/>
      <c r="AI2" s="94">
        <f>SUMIF($BC$1:$CI$1,AI$1,$BC2:$CI2)+AH2</f>
        <v>3.9999999999999991</v>
      </c>
      <c r="AJ2" s="77"/>
      <c r="AK2" s="94">
        <f>SUMIF($BC$1:$CI$1,AK$1,$BC2:$CI2)+AJ2</f>
        <v>0</v>
      </c>
      <c r="AL2" s="78"/>
      <c r="AM2" s="94">
        <f>SUMIF($BC$1:$CI$1,AM$1,$BC2:$CI2)+AL2</f>
        <v>0.50000000000000089</v>
      </c>
      <c r="AN2" s="77"/>
      <c r="AO2" s="94">
        <f>SUMIF($BC$1:$CI$1,AO$1,$BC2:$CI2)+AN2</f>
        <v>0</v>
      </c>
      <c r="AP2" s="95">
        <f>CK2</f>
        <v>5</v>
      </c>
      <c r="AQ2" s="77"/>
      <c r="AR2" s="77"/>
      <c r="AS2" s="77"/>
      <c r="AT2" s="63">
        <f>AE2+AG2+AI2+AK2+AM2+AO2+SUM(AQ2:AS2)</f>
        <v>40</v>
      </c>
      <c r="AU2" s="78" t="s">
        <v>1438</v>
      </c>
      <c r="AV2" s="5"/>
      <c r="AW2" s="5"/>
      <c r="AX2" s="5"/>
      <c r="AY2" s="5"/>
      <c r="AZ2" s="24">
        <f>VLOOKUP(C2,Employees!D:I,6,FALSE)</f>
        <v>10331</v>
      </c>
      <c r="BA2" s="5">
        <f>IF(ISBLANK(D2),0,(E2-D2)*24)</f>
        <v>5.0000000000000009</v>
      </c>
      <c r="BB2" s="5">
        <f>IF(BA2&gt;$AY$1,1,IF(BA2&gt;=$AX$1,0.5,0))</f>
        <v>0</v>
      </c>
      <c r="BC2" s="5">
        <f>BA2-BB2-BD2-BE2</f>
        <v>5.0000000000000009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10</v>
      </c>
      <c r="BL2" s="5">
        <f>IF(BK2&gt;$AY$1,1,IF(BK2&gt;=$AX$1,0.5,0))</f>
        <v>1</v>
      </c>
      <c r="BM2" s="5">
        <f>BK2-BL2-BN2-BO2</f>
        <v>9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11</v>
      </c>
      <c r="BV2" s="5">
        <f>IF(BU2&gt;$AY$1,1,IF(BU2&gt;=$AX$1,0.5,0))</f>
        <v>1</v>
      </c>
      <c r="BW2" s="5">
        <f>BU2-BV2-BX2-BY2</f>
        <v>9.5</v>
      </c>
      <c r="BX2" s="5">
        <f>IF(AND(Q2&gt;$AV$1, P2&lt;$AW$1),(MIN(Q2,$AW$1)-MAX(P2,$AV$1))*24,0)</f>
        <v>0.50000000000000089</v>
      </c>
      <c r="BY2" s="5">
        <f t="shared" ref="BY2" si="5">IF(Q2&gt;$AW$1,(Q2-MAX(P2,$AW$1))*24,0)</f>
        <v>0</v>
      </c>
      <c r="BZ2" s="5">
        <f t="shared" ref="BZ2" si="6">IF(ISBLANK(S2),0,(T2-S2)*24)</f>
        <v>7.5</v>
      </c>
      <c r="CA2" s="5">
        <f>IF(BZ2&gt;$AY$1,1,IF(BZ2&gt;=$AX$1,0.5,0))</f>
        <v>0.5</v>
      </c>
      <c r="CB2" s="5">
        <f>BZ2-CA2-CC2-CD2</f>
        <v>6.4999999999999991</v>
      </c>
      <c r="CC2" s="5">
        <f>IF(AND(T2&gt;$AV$1, S2&lt;$AW$1),(MIN(T2,$AW$1)-MAX(S2,$AV$1))*24,0)</f>
        <v>0.50000000000000089</v>
      </c>
      <c r="CD2" s="5">
        <f>IF(T2&gt;$AW$1,(T2-MAX(S2,$AW$1))*24,0)</f>
        <v>0</v>
      </c>
      <c r="CE2" s="5">
        <f t="shared" ref="CE2" si="7">IF(ISBLANK(V2),0,(W2-V2)*24)</f>
        <v>3.9999999999999991</v>
      </c>
      <c r="CF2" s="5">
        <f>IF(CE2&gt;$AY$1,1,IF(CE2&gt;=$AX$1,0.5,0))</f>
        <v>0</v>
      </c>
      <c r="CG2" s="5">
        <f>CE2-CF2-CH2-CI2</f>
        <v>3.4999999999999982</v>
      </c>
      <c r="CH2" s="5">
        <f>IF(AND(W2&gt;$AV$1, V2&lt;$AW$1),(MIN(W2,$AW$1)-MAX(V2,$AV$1))*24,0)</f>
        <v>0.50000000000000089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5</v>
      </c>
    </row>
    <row r="3" spans="1:89" ht="47" customHeight="1">
      <c r="A3" s="74">
        <f t="shared" si="0"/>
        <v>10460</v>
      </c>
      <c r="B3" s="81" t="s">
        <v>1402</v>
      </c>
      <c r="C3" s="91" t="s">
        <v>1254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4"/>
      <c r="Q3" s="84"/>
      <c r="R3" s="92">
        <f t="shared" ref="R3:R74" si="13">BU3-BV3</f>
        <v>0</v>
      </c>
      <c r="S3" s="84"/>
      <c r="T3" s="84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0</v>
      </c>
      <c r="AC3" s="93"/>
      <c r="AD3" s="78"/>
      <c r="AE3" s="94">
        <f t="shared" ref="AE3:AE74" si="17">SUMIF($BC$1:$CI$1,AE$1,$BC3:$CI3)+AD3</f>
        <v>0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>
        <f>VLOOKUP(C3,Employees!D:I,6,FALSE)</f>
        <v>10460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10505</v>
      </c>
      <c r="B4" s="81" t="s">
        <v>1402</v>
      </c>
      <c r="C4" s="85" t="s">
        <v>1381</v>
      </c>
      <c r="D4" s="75">
        <v>0.47916666666666669</v>
      </c>
      <c r="E4" s="75">
        <v>0.6875</v>
      </c>
      <c r="F4" s="92">
        <f t="shared" si="9"/>
        <v>5</v>
      </c>
      <c r="G4" s="75">
        <v>0.6875</v>
      </c>
      <c r="H4" s="75">
        <v>0.90625</v>
      </c>
      <c r="I4" s="92">
        <f t="shared" si="10"/>
        <v>5.25</v>
      </c>
      <c r="J4" s="75"/>
      <c r="K4" s="75"/>
      <c r="L4" s="92">
        <f t="shared" si="11"/>
        <v>0</v>
      </c>
      <c r="M4" s="75">
        <v>0.47916666666666669</v>
      </c>
      <c r="N4" s="75">
        <v>0.9375</v>
      </c>
      <c r="O4" s="92">
        <f t="shared" si="12"/>
        <v>10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20.25</v>
      </c>
      <c r="AC4" s="93"/>
      <c r="AD4" s="78">
        <v>0.5</v>
      </c>
      <c r="AE4" s="94">
        <f t="shared" si="17"/>
        <v>20.25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0.50000000000000089</v>
      </c>
      <c r="AN4" s="77"/>
      <c r="AO4" s="94">
        <f t="shared" si="22"/>
        <v>0</v>
      </c>
      <c r="AP4" s="95">
        <f t="shared" si="23"/>
        <v>3</v>
      </c>
      <c r="AQ4" s="77"/>
      <c r="AR4" s="77"/>
      <c r="AS4" s="77"/>
      <c r="AT4" s="63">
        <f t="shared" si="24"/>
        <v>20.75</v>
      </c>
      <c r="AU4" s="78" t="s">
        <v>1437</v>
      </c>
      <c r="AV4" s="5"/>
      <c r="AW4" s="5"/>
      <c r="AX4" s="5"/>
      <c r="AY4" s="5"/>
      <c r="AZ4" s="24">
        <f>VLOOKUP(C4,Employees!D:I,6,FALSE)</f>
        <v>10505</v>
      </c>
      <c r="BA4" s="5">
        <f t="shared" si="25"/>
        <v>5</v>
      </c>
      <c r="BB4" s="5">
        <f t="shared" si="26"/>
        <v>0</v>
      </c>
      <c r="BC4" s="5">
        <f t="shared" si="27"/>
        <v>5</v>
      </c>
      <c r="BD4" s="5">
        <f t="shared" si="28"/>
        <v>0</v>
      </c>
      <c r="BE4" s="5">
        <f t="shared" si="29"/>
        <v>0</v>
      </c>
      <c r="BF4" s="5">
        <f t="shared" si="30"/>
        <v>5.25</v>
      </c>
      <c r="BG4" s="5">
        <f t="shared" si="31"/>
        <v>0</v>
      </c>
      <c r="BH4" s="5">
        <f t="shared" si="32"/>
        <v>5.25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11</v>
      </c>
      <c r="BQ4" s="5">
        <f t="shared" si="41"/>
        <v>1</v>
      </c>
      <c r="BR4" s="5">
        <f t="shared" si="42"/>
        <v>9.5</v>
      </c>
      <c r="BS4" s="5">
        <f t="shared" si="43"/>
        <v>0.50000000000000089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3</v>
      </c>
    </row>
    <row r="5" spans="1:89" ht="47" customHeight="1">
      <c r="A5" s="74" t="str">
        <f t="shared" si="0"/>
        <v/>
      </c>
      <c r="B5" s="81"/>
      <c r="C5" s="85"/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0</v>
      </c>
      <c r="AC5" s="93"/>
      <c r="AD5" s="78"/>
      <c r="AE5" s="94">
        <f t="shared" si="17"/>
        <v>0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 t="str">
        <f t="shared" si="0"/>
        <v/>
      </c>
      <c r="B6" s="81"/>
      <c r="C6" s="85"/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0</v>
      </c>
      <c r="AC6" s="93"/>
      <c r="AD6" s="78"/>
      <c r="AE6" s="94">
        <f t="shared" si="17"/>
        <v>0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102"/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5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L1" zoomScale="120" zoomScaleNormal="120" workbookViewId="0">
      <selection activeCell="AI1" sqref="AI1:AI1048576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10331</v>
      </c>
      <c r="B2" s="28">
        <f ca="1">IF(A2=0,"",_xlfn.NUMBERVALUE(A2))</f>
        <v>10331</v>
      </c>
      <c r="C2" s="28" t="str">
        <f ca="1">IF($A2=0,"",VLOOKUP($B2,Employees!$A:$G,2,FALSE))</f>
        <v>Haoshen</v>
      </c>
      <c r="D2" s="28" t="str">
        <f ca="1">IF($A2=0,"",VLOOKUP($B2,Employees!$A:$G,3,FALSE))</f>
        <v>Luo</v>
      </c>
      <c r="E2" s="26">
        <f ca="1">IF($A2=0,"",VLOOKUP($B2,Employees!$A:$G,5,FALSE))</f>
        <v>36427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Hotstar Burwood</v>
      </c>
      <c r="L2" s="13" t="str">
        <f ca="1">IF($A2=0,"",VLOOKUP(K2,Stores!A:B,2,0))</f>
        <v>Winlada</v>
      </c>
      <c r="M2" s="14">
        <f t="shared" ref="M2" ca="1" si="0">Y2+AK2</f>
        <v>53.5</v>
      </c>
      <c r="N2" s="14">
        <f t="shared" ref="N2" ca="1" si="1">Z2+AL2</f>
        <v>17</v>
      </c>
      <c r="O2" s="14">
        <f t="shared" ref="O2" ca="1" si="2">AA2+AM2</f>
        <v>3.9999999999999991</v>
      </c>
      <c r="P2" s="14">
        <f t="shared" ref="P2" ca="1" si="3">AB2+AN2</f>
        <v>0</v>
      </c>
      <c r="Q2" s="14">
        <f t="shared" ref="Q2" ca="1" si="4">AC2+AO2</f>
        <v>1.0000000000000018</v>
      </c>
      <c r="R2" s="14">
        <f t="shared" ref="R2:S2" ca="1" si="5">AD2+AP2</f>
        <v>0</v>
      </c>
      <c r="S2" s="28">
        <f t="shared" ca="1" si="5"/>
        <v>9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75.5</v>
      </c>
      <c r="Y2" s="17">
        <f ca="1">IF($A2=0,0,SUMIF('Week 1 Roster'!$AZ:$AZ,$B2,'Week 1 Roster'!$AE:$AE))</f>
        <v>25.000000000000004</v>
      </c>
      <c r="Z2" s="17">
        <f ca="1">IF($A2=0,0,SUMIF('Week 1 Roster'!$AZ:$AZ,$B2,'Week 1 Roster'!$AG:$AG))</f>
        <v>10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0.50000000000000089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35.5</v>
      </c>
      <c r="AK2" s="17">
        <f ca="1">IF($A2=0,0,SUMIF('Week 2 Roster'!$AZ:$AZ,$B2,'Week 2 Roster'!$AE:$AE))</f>
        <v>28.5</v>
      </c>
      <c r="AL2" s="17">
        <f ca="1">IF($A2=0,0,SUMIF('Week 2 Roster'!$AZ:$AZ,$B2,'Week 2 Roster'!$AG:$AG))</f>
        <v>7</v>
      </c>
      <c r="AM2" s="17">
        <f ca="1">IF($A2=0,0,SUMIF('Week 2 Roster'!$AZ:$AZ,$B2,'Week 2 Roster'!$AI:$AI))</f>
        <v>3.9999999999999991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0.50000000000000089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5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40</v>
      </c>
      <c r="AV2" s="17"/>
      <c r="AW2" s="25">
        <f>'Week 1 Roster'!A2</f>
        <v>10331</v>
      </c>
      <c r="AX2" s="25">
        <f>'Week 2 Roster'!A2</f>
        <v>10331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10460</v>
      </c>
      <c r="B3" s="28">
        <f t="shared" ref="B3:B66" ca="1" si="9">IF(A3=0,"",_xlfn.NUMBERVALUE(A3))</f>
        <v>10460</v>
      </c>
      <c r="C3" s="28" t="str">
        <f ca="1">IF($A3=0,"",VLOOKUP($B3,Employees!$A:$G,2,FALSE))</f>
        <v>HANTIAN</v>
      </c>
      <c r="D3" s="28" t="str">
        <f ca="1">IF($A3=0,"",VLOOKUP($B3,Employees!$A:$G,3,FALSE))</f>
        <v>ZHANG</v>
      </c>
      <c r="E3" s="26">
        <f ca="1">IF($A3=0,"",VLOOKUP($B3,Employees!$A:$G,5,FALSE))</f>
        <v>38468</v>
      </c>
      <c r="F3" s="13">
        <f ca="1">IF($E3="","",ROUNDDOWN(YEARFRAC($E3, 'Week 1 Roster'!$D$1-1, 1), 0))</f>
        <v>20</v>
      </c>
      <c r="G3" s="13">
        <f ca="1">IF($E3="","",ROUNDDOWN(YEARFRAC($E3, 'Week 1 Roster'!$D$1+14, 1), 0))</f>
        <v>20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Hotstar Burwood</v>
      </c>
      <c r="L3" s="13" t="str">
        <f ca="1">IF($A3=0,"",VLOOKUP(K3,Stores!A:B,2,0))</f>
        <v>Winlada</v>
      </c>
      <c r="M3" s="14">
        <f t="shared" ref="M3:M66" ca="1" si="11">Y3+AK3</f>
        <v>24.5</v>
      </c>
      <c r="N3" s="14">
        <f t="shared" ref="N3:N66" ca="1" si="12">Z3+AL3</f>
        <v>3.5000000000000009</v>
      </c>
      <c r="O3" s="14">
        <f t="shared" ref="O3:O66" ca="1" si="13">AA3+AM3</f>
        <v>5.5</v>
      </c>
      <c r="P3" s="14">
        <f t="shared" ref="P3:P66" ca="1" si="14">AB3+AN3</f>
        <v>0</v>
      </c>
      <c r="Q3" s="14">
        <f t="shared" ref="Q3:Q66" ca="1" si="15">AC3+AO3</f>
        <v>1.0000000000000018</v>
      </c>
      <c r="R3" s="14">
        <f t="shared" ref="R3:R66" ca="1" si="16">AD3+AP3</f>
        <v>0</v>
      </c>
      <c r="S3" s="28">
        <f t="shared" ref="S3:S66" ca="1" si="17">AE3+AQ3</f>
        <v>5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34.5</v>
      </c>
      <c r="Y3" s="17">
        <f ca="1">IF($A3=0,0,SUMIF('Week 1 Roster'!$AZ:$AZ,$B3,'Week 1 Roster'!$AE:$AE))</f>
        <v>24.5</v>
      </c>
      <c r="Z3" s="17">
        <f ca="1">IF($A3=0,0,SUMIF('Week 1 Roster'!$AZ:$AZ,$B3,'Week 1 Roster'!$AG:$AG))</f>
        <v>3.5000000000000009</v>
      </c>
      <c r="AA3" s="17">
        <f ca="1">IF($A3=0,0,SUMIF('Week 1 Roster'!$AZ:$AZ,$B3,'Week 1 Roster'!$AI:$AI))</f>
        <v>5.5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1.0000000000000018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5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34.5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10460</v>
      </c>
      <c r="AX3" s="25">
        <f>'Week 2 Roster'!A3</f>
        <v>10460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10505</v>
      </c>
      <c r="B4" s="28">
        <f t="shared" ca="1" si="9"/>
        <v>10505</v>
      </c>
      <c r="C4" s="28" t="str">
        <f ca="1">IF($A4=0,"",VLOOKUP($B4,Employees!$A:$G,2,FALSE))</f>
        <v>Yingyin</v>
      </c>
      <c r="D4" s="28" t="str">
        <f ca="1">IF($A4=0,"",VLOOKUP($B4,Employees!$A:$G,3,FALSE))</f>
        <v>Zhang</v>
      </c>
      <c r="E4" s="26">
        <f ca="1">IF($A4=0,"",VLOOKUP($B4,Employees!$A:$G,5,FALSE))</f>
        <v>36243</v>
      </c>
      <c r="F4" s="13">
        <f ca="1">IF($E4="","",ROUNDDOWN(YEARFRAC($E4, 'Week 1 Roster'!$D$1-1, 1), 0))</f>
        <v>26</v>
      </c>
      <c r="G4" s="13">
        <f ca="1">IF($E4="","",ROUNDDOWN(YEARFRAC($E4, 'Week 1 Roster'!$D$1+14, 1), 0))</f>
        <v>26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Hotstar Burwood</v>
      </c>
      <c r="L4" s="13" t="str">
        <f ca="1">IF($A4=0,"",VLOOKUP(K4,Stores!A:B,2,0))</f>
        <v>Winlada</v>
      </c>
      <c r="M4" s="14">
        <f t="shared" ca="1" si="11"/>
        <v>29.25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1.0000000000000018</v>
      </c>
      <c r="R4" s="14">
        <f t="shared" ca="1" si="16"/>
        <v>0</v>
      </c>
      <c r="S4" s="28">
        <f t="shared" ca="1" si="17"/>
        <v>5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30.25</v>
      </c>
      <c r="Y4" s="17">
        <f ca="1">IF($A4=0,0,SUMIF('Week 1 Roster'!$AZ:$AZ,$B4,'Week 1 Roster'!$AE:$AE))</f>
        <v>9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0.50000000000000089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9.5</v>
      </c>
      <c r="AK4" s="17">
        <f ca="1">IF($A4=0,0,SUMIF('Week 2 Roster'!$AZ:$AZ,$B4,'Week 2 Roster'!$AE:$AE))</f>
        <v>20.25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0.50000000000000089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3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20.75</v>
      </c>
      <c r="AV4" s="17"/>
      <c r="AW4" s="25">
        <f>'Week 1 Roster'!A4</f>
        <v>10505</v>
      </c>
      <c r="AX4" s="25">
        <f>'Week 2 Roster'!A4</f>
        <v>10505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0</v>
      </c>
      <c r="B5" s="28" t="str">
        <f t="shared" ca="1" si="9"/>
        <v/>
      </c>
      <c r="C5" s="28" t="str">
        <f ca="1">IF($A5=0,"",VLOOKUP($B5,Employees!$A:$G,2,FALSE))</f>
        <v/>
      </c>
      <c r="D5" s="28" t="str">
        <f ca="1">IF($A5=0,"",VLOOKUP($B5,Employees!$A:$G,3,FALSE))</f>
        <v/>
      </c>
      <c r="E5" s="26" t="str">
        <f ca="1">IF($A5=0,"",VLOOKUP($B5,Employees!$A:$G,5,FALSE))</f>
        <v/>
      </c>
      <c r="F5" s="13" t="str">
        <f ca="1">IF($E5="","",ROUNDDOWN(YEARFRAC($E5, 'Week 1 Roster'!$D$1-1, 1), 0))</f>
        <v/>
      </c>
      <c r="G5" s="13" t="str">
        <f ca="1">IF($E5="","",ROUNDDOWN(YEARFRAC($E5, 'Week 1 Roster'!$D$1+14, 1), 0))</f>
        <v/>
      </c>
      <c r="H5" s="13" t="str">
        <f t="shared" ca="1" si="10"/>
        <v/>
      </c>
      <c r="I5" s="13" t="str">
        <f ca="1">IF($A5=0,"",VLOOKUP($B5,Employees!$A:$G,6,FALSE))</f>
        <v/>
      </c>
      <c r="J5" s="13" t="str">
        <f ca="1">IF($A5=0,"",VLOOKUP($B5,Employees!$A:$G,7,FALSE))</f>
        <v/>
      </c>
      <c r="K5" s="13" t="str">
        <f ca="1">IF($A5=0,"",IF(ISNA(VLOOKUP(A5,'Week 1 Roster'!A:C,2,0)),VLOOKUP(A5,'Week 2 Roster'!A:C,2,0),VLOOKUP(A5,'Week 1 Roster'!A:C,2,0)))</f>
        <v/>
      </c>
      <c r="L5" s="13" t="str">
        <f ca="1">IF($A5=0,"",VLOOKUP(K5,Stores!A:B,2,0))</f>
        <v/>
      </c>
      <c r="M5" s="14">
        <f t="shared" ca="1" si="11"/>
        <v>0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0</v>
      </c>
      <c r="Y5" s="17">
        <f ca="1">IF($A5=0,0,SUMIF('Week 1 Roster'!$AZ:$AZ,$B5,'Week 1 Roster'!$AE:$AE))</f>
        <v>0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0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0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0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0</v>
      </c>
      <c r="AV5" s="17"/>
      <c r="AW5" s="25" t="str">
        <f>'Week 1 Roster'!A5</f>
        <v/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0</v>
      </c>
      <c r="B6" s="28" t="str">
        <f t="shared" ca="1" si="9"/>
        <v/>
      </c>
      <c r="C6" s="28" t="str">
        <f ca="1">IF($A6=0,"",VLOOKUP($B6,Employees!$A:$G,2,FALSE))</f>
        <v/>
      </c>
      <c r="D6" s="28" t="str">
        <f ca="1">IF($A6=0,"",VLOOKUP($B6,Employees!$A:$G,3,FALSE))</f>
        <v/>
      </c>
      <c r="E6" s="26" t="str">
        <f ca="1">IF($A6=0,"",VLOOKUP($B6,Employees!$A:$G,5,FALSE))</f>
        <v/>
      </c>
      <c r="F6" s="13" t="str">
        <f ca="1">IF($E6="","",ROUNDDOWN(YEARFRAC($E6, 'Week 1 Roster'!$D$1-1, 1), 0))</f>
        <v/>
      </c>
      <c r="G6" s="13" t="str">
        <f ca="1">IF($E6="","",ROUNDDOWN(YEARFRAC($E6, 'Week 1 Roster'!$D$1+14, 1), 0))</f>
        <v/>
      </c>
      <c r="H6" s="13" t="str">
        <f t="shared" ca="1" si="10"/>
        <v/>
      </c>
      <c r="I6" s="13" t="str">
        <f ca="1">IF($A6=0,"",VLOOKUP($B6,Employees!$A:$G,6,FALSE))</f>
        <v/>
      </c>
      <c r="J6" s="13" t="str">
        <f ca="1">IF($A6=0,"",VLOOKUP($B6,Employees!$A:$G,7,FALSE))</f>
        <v/>
      </c>
      <c r="K6" s="13" t="str">
        <f ca="1">IF($A6=0,"",IF(ISNA(VLOOKUP(A6,'Week 1 Roster'!A:C,2,0)),VLOOKUP(A6,'Week 2 Roster'!A:C,2,0),VLOOKUP(A6,'Week 1 Roster'!A:C,2,0)))</f>
        <v/>
      </c>
      <c r="L6" s="13" t="str">
        <f ca="1">IF($A6=0,"",VLOOKUP(K6,Stores!A:B,2,0))</f>
        <v/>
      </c>
      <c r="M6" s="14">
        <f t="shared" ca="1" si="11"/>
        <v>0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0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0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0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0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0</v>
      </c>
      <c r="AV6" s="17"/>
      <c r="AW6" s="25" t="str">
        <f>'Week 1 Roster'!A6</f>
        <v/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3" t="str">
        <f ca="1">IF($A7=0,"",IF(ISNA(VLOOKUP(A7,'Week 1 Roster'!A:C,2,0)),VLOOKUP(A7,'Week 2 Roster'!A:C,2,0),VLOOKUP(A7,'Week 1 Roster'!A:C,2,0)))</f>
        <v/>
      </c>
      <c r="L7" s="13" t="str">
        <f ca="1">IF($A7=0,"",VLOOKUP(K7,Stores!A:B,2,0))</f>
        <v/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 t="str">
        <f>'Week 1 Roster'!A7</f>
        <v/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06" zoomScale="186" zoomScaleNormal="186" workbookViewId="0">
      <selection activeCell="D528" sqref="D528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210188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210519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210519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2025-11-10T05:03:02Z</dcterms:modified>
</cp:coreProperties>
</file>