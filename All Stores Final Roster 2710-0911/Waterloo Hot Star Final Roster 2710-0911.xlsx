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1751A0DF-024A-A54D-92A0-836C80FC7D8A}" xr6:coauthVersionLast="47" xr6:coauthVersionMax="47" xr10:uidLastSave="{00000000-0000-0000-0000-000000000000}"/>
  <bookViews>
    <workbookView xWindow="0" yWindow="740" windowWidth="29400" windowHeight="1722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 a="1"/>
  <c r="X1" i="2" l="1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Z3" i="12" s="1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3" i="12" l="1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N19" i="12" s="1"/>
  <c r="AR19" i="12"/>
  <c r="AH19" i="12"/>
  <c r="E19" i="12"/>
  <c r="G19" i="12" s="1"/>
  <c r="AA19" i="12"/>
  <c r="I19" i="12"/>
  <c r="Y19" i="12"/>
  <c r="D19" i="12"/>
  <c r="A20" i="12"/>
  <c r="O19" i="12" l="1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R101" i="12" l="1"/>
  <c r="V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R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P167" i="12" s="1"/>
  <c r="A168" i="12" a="1"/>
  <c r="O167" i="12" l="1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U168" i="12" l="1"/>
  <c r="V168" i="12"/>
  <c r="P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N177" i="12" l="1"/>
  <c r="R177" i="12"/>
  <c r="Q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Q191" i="12" l="1"/>
  <c r="N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V211" i="12" s="1"/>
  <c r="A212" i="12" a="1"/>
  <c r="R211" i="12" l="1"/>
  <c r="Q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Q213" i="12" l="1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Y223" i="12"/>
  <c r="A224" i="12" a="1"/>
  <c r="U223" i="12" l="1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T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Q241" i="12" s="1"/>
  <c r="A242" i="12" a="1"/>
  <c r="O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R266" i="12" l="1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N270" i="12" l="1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U272" i="12" l="1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Q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A298" i="12" a="1"/>
  <c r="V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Q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<sst xmlns="http://schemas.openxmlformats.org/spreadsheetml/2006/main" count="2394" uniqueCount="1449">
  <si>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</si>
  <si>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</si>
  <si>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</si>
  <si>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</si>
  <si>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</si>
  <si>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</si>
  <si>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</si>
  <si>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</si>
  <si>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</si>
  <si>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</si>
  <si>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</si>
  <si>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</si>
  <si>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</si>
  <si>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</si>
  <si>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</si>
  <si>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</si>
  <si>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</si>
  <si>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</si>
  <si>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</si>
  <si>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</si>
  <si>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</si>
  <si>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</si>
  <si>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</si>
  <si>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</si>
  <si>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</si>
  <si>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</si>
  <si>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</si>
  <si>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</si>
  <si>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</si>
  <si>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</si>
  <si>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</si>
  <si>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</si>
  <si>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</si>
  <si>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</si>
  <si>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</si>
  <si>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</si>
  <si>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</si>
  <si>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</si>
  <si>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</si>
  <si>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</si>
  <si>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</si>
  <si>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</si>
  <si>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</si>
  <si>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</si>
  <si>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</si>
  <si>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</si>
  <si>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</si>
  <si>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</si>
  <si>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</si>
  <si>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</si>
  <si>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</si>
  <si>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</si>
  <si>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</si>
  <si>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</si>
  <si>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</si>
  <si>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</si>
  <si>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</si>
  <si>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</si>
  <si>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</si>
  <si>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</si>
  <si>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</si>
  <si>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</si>
  <si>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</si>
  <si>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</si>
  <si>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</si>
  <si>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</si>
  <si>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</si>
  <si>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</si>
  <si>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</si>
  <si>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</si>
  <si>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</si>
  <si>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</si>
  <si>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</si>
  <si>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</si>
  <si>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</si>
  <si>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</si>
  <si>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</si>
  <si>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</si>
  <si>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</si>
  <si>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</si>
  <si>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</si>
  <si>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</si>
  <si>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</si>
  <si>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</si>
  <si>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</si>
  <si>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</si>
  <si>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</si>
  <si>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</si>
  <si>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</si>
  <si>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</si>
  <si>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</si>
  <si>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</si>
  <si>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</si>
  <si>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</si>
  <si>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</si>
  <si>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</si>
  <si>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</si>
  <si>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</si>
  <si>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</si>
  <si>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</si>
  <si>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</si>
  <si>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</si>
  <si>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</si>
  <si>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</si>
  <si>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</si>
  <si>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</si>
  <si>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</si>
  <si>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</si>
  <si>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</si>
  <si>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</si>
  <si>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</si>
  <si>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</si>
  <si>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</si>
  <si>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</si>
  <si>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</si>
  <si>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</si>
  <si>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</si>
  <si>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</si>
  <si>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</si>
  <si>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</si>
  <si>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</si>
  <si>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</si>
  <si>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</si>
  <si>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</si>
  <si>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</si>
  <si>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</si>
  <si>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</si>
  <si>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</si>
  <si>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</si>
  <si>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</si>
  <si>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</si>
  <si>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</si>
  <si>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</si>
  <si>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</si>
  <si>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</si>
  <si>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</si>
  <si>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</si>
  <si>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</si>
  <si>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</si>
  <si>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</si>
  <si>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</si>
  <si>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</si>
  <si>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</si>
  <si>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</si>
  <si>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</si>
  <si>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</si>
  <si>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</si>
  <si>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</si>
  <si>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</si>
  <si>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</si>
  <si>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</si>
  <si>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</si>
  <si>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</si>
  <si>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</si>
  <si>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</si>
  <si>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</si>
  <si>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</si>
  <si>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</si>
  <si>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</si>
  <si>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</si>
  <si>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</si>
  <si>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</si>
  <si>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</si>
  <si>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</si>
  <si>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</si>
  <si>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</si>
  <si>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</si>
  <si>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</si>
  <si>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</si>
  <si>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</si>
  <si>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</si>
  <si>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</si>
  <si>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</si>
  <si>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</si>
  <si>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</si>
  <si>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</si>
  <si>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</si>
  <si>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</si>
  <si>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</si>
  <si>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</si>
  <si>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</si>
  <si>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</si>
  <si>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</si>
  <si>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</si>
  <si>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</si>
  <si>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</si>
  <si>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</si>
  <si>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</si>
  <si>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</si>
  <si>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</si>
  <si>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</si>
  <si>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</si>
  <si>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</si>
  <si>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</si>
  <si>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</si>
  <si>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</si>
  <si>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</si>
  <si>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</si>
  <si>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</si>
  <si>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</si>
  <si>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</si>
  <si>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</si>
  <si>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</si>
  <si>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</si>
  <si>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</si>
  <si>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</si>
  <si>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</si>
  <si>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</si>
  <si>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</si>
  <si>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</si>
  <si>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</si>
  <si>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</si>
  <si>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</si>
  <si>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</si>
  <si>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</si>
  <si>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</si>
  <si>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</si>
  <si>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</si>
  <si>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</si>
  <si>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</si>
  <si>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</si>
  <si>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</si>
  <si>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</si>
  <si>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</si>
  <si>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</si>
  <si>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</si>
  <si>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</si>
  <si>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</si>
  <si>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</si>
  <si>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</si>
  <si>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</si>
  <si>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</si>
  <si>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</si>
  <si>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</si>
  <si>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</si>
  <si>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</si>
  <si>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</si>
  <si>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</si>
  <si>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</si>
  <si>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</si>
  <si>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</si>
  <si>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</si>
  <si>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</si>
  <si>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</si>
  <si>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</si>
  <si>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</si>
  <si>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</si>
  <si>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</si>
  <si>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</si>
  <si>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</si>
  <si>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</si>
  <si>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</si>
  <si>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</si>
  <si>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</si>
  <si>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</si>
  <si>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</si>
  <si>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</si>
  <si>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</si>
  <si>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</si>
  <si>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</si>
  <si>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</si>
  <si>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</si>
  <si>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</si>
  <si>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</si>
  <si>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</si>
  <si>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</si>
  <si>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</si>
  <si>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</si>
  <si>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</si>
  <si>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</si>
  <si>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</si>
  <si>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</si>
  <si>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</si>
  <si>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</si>
  <si>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</si>
  <si>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</si>
  <si>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</si>
  <si>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</si>
  <si>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</si>
  <si>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</si>
  <si>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</si>
  <si>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</si>
  <si>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</si>
  <si>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</si>
  <si>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</si>
  <si>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</si>
  <si>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</si>
  <si>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</si>
  <si>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</si>
  <si>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</si>
  <si>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</si>
  <si>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</si>
  <si>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</si>
  <si>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</si>
  <si>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</si>
  <si>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</si>
  <si>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</si>
  <si>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</si>
  <si>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</si>
  <si>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</si>
  <si>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</si>
  <si>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</si>
  <si>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</si>
  <si>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</si>
  <si>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</si>
  <si>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</si>
  <si>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</si>
  <si>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</si>
  <si>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</si>
  <si>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</si>
  <si>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</si>
  <si>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</si>
  <si>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</si>
  <si>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</si>
  <si>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</si>
  <si>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</si>
  <si>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</si>
  <si>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</si>
  <si>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</si>
  <si>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</si>
  <si>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</si>
  <si>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</si>
  <si>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</si>
  <si>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</si>
  <si>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</si>
  <si>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</si>
  <si>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</si>
  <si>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</si>
  <si>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</si>
  <si>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</si>
  <si>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</si>
  <si>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</si>
  <si>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</si>
  <si>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</si>
  <si>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</si>
  <si>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</si>
  <si>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</si>
  <si>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</si>
  <si>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</si>
  <si>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</si>
  <si>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</si>
  <si>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</si>
  <si>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</si>
  <si>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</si>
  <si>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</si>
  <si>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</si>
  <si>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</si>
  <si>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</si>
  <si>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</si>
  <si>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</si>
  <si>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</si>
  <si>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</si>
  <si>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</si>
  <si>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</si>
  <si>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</si>
  <si>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</si>
  <si>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</si>
  <si>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</si>
  <si>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</si>
  <si>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</si>
  <si>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</si>
  <si>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</si>
  <si>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</si>
  <si>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</si>
  <si>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</si>
  <si>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</si>
  <si>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</si>
  <si>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</si>
  <si>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</si>
  <si>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</si>
  <si>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</si>
  <si>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</si>
  <si>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</si>
  <si>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</si>
  <si>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</si>
  <si>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</si>
  <si>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</si>
  <si>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</si>
  <si>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</si>
  <si>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</si>
  <si>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</si>
  <si>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</si>
  <si>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</si>
  <si>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</si>
  <si>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</si>
  <si>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</si>
  <si>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</si>
  <si>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</si>
  <si>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</si>
  <si>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</si>
  <si>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</si>
  <si>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</si>
  <si>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</si>
  <si>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</si>
  <si>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</si>
  <si>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</si>
  <si>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</si>
  <si>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</si>
  <si>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</si>
  <si>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</si>
  <si>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</si>
  <si>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</si>
  <si>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</si>
  <si>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</si>
  <si>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</si>
  <si>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</si>
  <si>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</si>
  <si>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</si>
  <si>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</si>
  <si>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</si>
  <si>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</si>
  <si>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</si>
  <si>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</si>
  <si>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</si>
  <si>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</si>
  <si>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</si>
  <si>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</si>
  <si>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</si>
  <si>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</si>
  <si>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</si>
  <si>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</si>
  <si>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</si>
  <si>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</si>
  <si>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</si>
  <si>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</si>
  <si>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</si>
  <si>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</si>
  <si>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</si>
  <si>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</si>
  <si>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</si>
  <si>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</si>
  <si>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</si>
  <si>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</si>
  <si>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</si>
  <si>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</si>
  <si>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</si>
  <si>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</si>
  <si>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</si>
  <si>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</si>
  <si>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</si>
  <si>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</si>
  <si>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</si>
  <si>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</si>
  <si>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</si>
  <si>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</si>
  <si>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</si>
  <si>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</si>
  <si>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</si>
  <si>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</si>
  <si>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</si>
  <si>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</si>
  <si>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</si>
  <si>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</si>
  <si>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</si>
  <si>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</si>
  <si>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</si>
  <si>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</si>
  <si>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</si>
  <si>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</si>
  <si>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</si>
  <si>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</si>
  <si>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</si>
  <si>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</si>
  <si>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</si>
  <si>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</si>
  <si>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</si>
  <si>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</si>
  <si>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</si>
  <si>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</si>
  <si>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</si>
  <si>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</si>
  <si>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</si>
  <si>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</si>
  <si>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</si>
  <si>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</si>
  <si>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</si>
  <si>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</si>
  <si>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</si>
  <si>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</si>
  <si>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</si>
  <si>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</si>
  <si>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</si>
  <si>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</si>
  <si>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</si>
  <si>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</si>
  <si>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</si>
  <si>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</si>
  <si>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</si>
  <si>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</si>
  <si>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</si>
  <si>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</si>
  <si>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</si>
  <si>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</si>
  <si>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</si>
  <si>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</si>
  <si>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</si>
  <si>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</si>
  <si>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</si>
  <si>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</si>
  <si>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</si>
  <si>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</si>
  <si>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</si>
  <si>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</si>
  <si>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</si>
  <si>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</si>
  <si>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</si>
  <si>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</si>
  <si>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</si>
  <si>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</si>
  <si>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</si>
  <si>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</si>
  <si>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</si>
  <si>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</si>
  <si>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</si>
  <si>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</si>
  <si>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</si>
  <si>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</si>
  <si>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</si>
  <si>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</si>
  <si>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</si>
  <si>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</si>
  <si>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</si>
  <si>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</si>
  <si>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</si>
  <si>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</si>
  <si>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</si>
  <si>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</si>
  <si>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</si>
  <si>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</si>
  <si>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</si>
  <si>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</si>
  <si>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</si>
  <si>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</si>
  <si>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</si>
  <si>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</si>
  <si>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</si>
  <si>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</si>
  <si>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</si>
  <si>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</si>
  <si>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</si>
  <si>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</si>
  <si>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</si>
  <si>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</si>
  <si>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</si>
  <si>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</si>
  <si>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</si>
  <si>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</si>
  <si>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</si>
  <si>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</si>
  <si>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</si>
  <si>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</si>
  <si>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</si>
  <si>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</si>
  <si>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</si>
  <si>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</si>
  <si>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</si>
  <si>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</si>
  <si>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</si>
  <si>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</si>
  <si>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</si>
  <si>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</si>
  <si>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</si>
  <si>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</si>
  <si>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</si>
  <si>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</si>
  <si>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</si>
  <si>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</si>
  <si>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</si>
  <si>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</si>
  <si>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</si>
  <si>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</si>
  <si>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</si>
  <si>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</si>
  <si>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</si>
  <si>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</si>
  <si>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</si>
  <si>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</si>
  <si>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</si>
  <si>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</si>
  <si>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</si>
  <si>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</si>
  <si>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</si>
  <si>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</si>
  <si>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</si>
  <si>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</si>
  <si>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</si>
  <si>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</si>
  <si>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</si>
  <si>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</si>
  <si>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</si>
  <si>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</si>
  <si>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</si>
  <si>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</si>
  <si>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</si>
  <si>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</si>
  <si>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</si>
  <si>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</si>
  <si>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</si>
  <si>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</si>
  <si>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</si>
  <si>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</si>
  <si>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</si>
  <si>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</si>
  <si>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</si>
  <si>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</si>
  <si>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</si>
  <si>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</si>
  <si>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</si>
  <si>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</si>
  <si>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</si>
  <si>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</si>
  <si>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</si>
  <si>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</si>
  <si>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</si>
  <si>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</si>
  <si>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</si>
  <si>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</si>
  <si>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</si>
  <si>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</si>
  <si>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</si>
  <si>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</si>
  <si>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</si>
  <si>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</si>
  <si>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</si>
  <si>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</si>
  <si>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</si>
  <si>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</si>
  <si>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</si>
  <si>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</si>
  <si>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</si>
  <si>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</si>
  <si>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</si>
  <si>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</si>
  <si>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</si>
  <si>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</si>
  <si>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</si>
  <si>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</si>
  <si>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</si>
  <si>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</si>
  <si>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</si>
  <si>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</si>
  <si>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</si>
  <si>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</si>
  <si>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</si>
  <si>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</si>
  <si>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</si>
  <si>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</si>
  <si>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</si>
  <si>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</si>
  <si>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</si>
  <si>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</si>
  <si>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</si>
  <si>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</si>
  <si>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</si>
  <si>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</si>
  <si>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</si>
  <si>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</si>
  <si>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</si>
  <si>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</si>
  <si>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</si>
  <si>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</si>
  <si>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</si>
  <si>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</si>
  <si>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</si>
  <si>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</si>
  <si>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</si>
  <si>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</si>
  <si>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</si>
  <si>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</si>
  <si>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</si>
  <si>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</si>
  <si>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</si>
  <si>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</si>
  <si>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</si>
  <si>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</si>
  <si>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</si>
  <si>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</si>
  <si>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</si>
  <si>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</si>
  <si>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</si>
  <si>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</si>
  <si>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</si>
  <si>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</si>
  <si>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</si>
  <si>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</si>
  <si>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</si>
  <si>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</si>
  <si>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</si>
  <si>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</si>
  <si>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</si>
  <si>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</si>
  <si>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</si>
  <si>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</si>
  <si>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</si>
  <si>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</si>
  <si>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</si>
  <si>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</si>
  <si>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</si>
  <si>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</si>
  <si>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</si>
  <si>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</si>
  <si>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</si>
  <si>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</si>
  <si>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</si>
  <si>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</si>
  <si>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</si>
  <si>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</si>
  <si>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</si>
  <si>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</si>
  <si>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</si>
  <si>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</si>
  <si>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</si>
  <si>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</si>
  <si>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</si>
  <si>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</si>
  <si>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</si>
  <si>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</si>
  <si>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</si>
  <si>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</si>
  <si>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</si>
  <si>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</si>
  <si>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</si>
  <si>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</si>
  <si>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</si>
  <si>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</si>
  <si>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</si>
  <si>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</si>
  <si>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</si>
  <si>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</si>
  <si>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</si>
  <si>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</si>
  <si>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</si>
  <si>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</si>
  <si>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</si>
  <si>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</si>
  <si>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</si>
  <si>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</si>
  <si>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</si>
  <si>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</si>
  <si>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</si>
  <si>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</si>
  <si>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</si>
  <si>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</si>
  <si>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</si>
  <si>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</si>
  <si>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</si>
  <si>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</si>
  <si>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</si>
  <si>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</si>
  <si>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</si>
  <si>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</si>
  <si>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</si>
  <si>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</si>
  <si>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</si>
  <si>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</si>
  <si>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</si>
  <si>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</si>
  <si>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</si>
  <si>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</si>
  <si>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</si>
  <si>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</si>
  <si>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</si>
  <si>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</si>
  <si>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</si>
  <si>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</si>
  <si>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</si>
  <si>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</si>
  <si>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</si>
  <si>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</si>
  <si>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</si>
  <si>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</si>
  <si>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</si>
  <si>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</si>
  <si>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</si>
  <si>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</si>
  <si>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</si>
  <si>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</si>
  <si>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</si>
  <si>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</si>
  <si>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</si>
  <si>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</si>
  <si>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</si>
  <si>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</si>
  <si>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</si>
  <si>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</si>
  <si>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</si>
  <si>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</si>
  <si>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</si>
  <si>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</si>
  <si>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</si>
  <si>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</si>
  <si>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</si>
  <si>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</si>
  <si>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</si>
  <si>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</si>
  <si>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</si>
  <si>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</si>
  <si>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</si>
  <si>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</si>
  <si>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</si>
  <si>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</si>
  <si>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</si>
  <si>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</si>
  <si>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</si>
  <si>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</si>
  <si>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</si>
  <si>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</si>
  <si>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</si>
  <si>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</si>
  <si>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</si>
  <si>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</si>
  <si>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</si>
  <si>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</si>
  <si>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</si>
  <si>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</si>
  <si>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</si>
  <si>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</si>
  <si>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</si>
  <si>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</si>
  <si>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</si>
  <si>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</si>
  <si>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</si>
  <si>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</si>
  <si>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</si>
  <si>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</si>
  <si>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</si>
  <si>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</si>
  <si>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</si>
  <si>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</si>
  <si>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</si>
  <si>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</si>
  <si>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</si>
  <si>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</si>
  <si>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</si>
  <si>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</si>
  <si>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</si>
  <si>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</si>
  <si>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</si>
  <si>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</si>
  <si>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</si>
  <si>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</si>
  <si>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</si>
  <si>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</si>
  <si>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</si>
  <si>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</si>
  <si>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</si>
  <si>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</si>
  <si>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</si>
  <si>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</si>
  <si>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</si>
  <si>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</si>
  <si>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</si>
  <si>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</si>
  <si>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</si>
  <si>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</si>
  <si>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</si>
  <si>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</si>
  <si>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</si>
  <si>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</si>
  <si>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</si>
  <si>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</si>
  <si>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</si>
  <si>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</si>
  <si>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</si>
  <si>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</si>
  <si>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</si>
  <si>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</si>
  <si>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</si>
  <si>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</si>
  <si>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</si>
  <si>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</si>
  <si>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</si>
  <si>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</si>
  <si>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</si>
  <si>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</si>
  <si>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</si>
  <si>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</si>
  <si>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</si>
  <si>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</si>
  <si>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</si>
  <si>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</si>
  <si>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</si>
  <si>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</si>
  <si>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</si>
  <si>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</si>
  <si>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</si>
  <si>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</si>
  <si>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</si>
  <si>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</si>
  <si>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</si>
  <si>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</si>
  <si>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</si>
  <si>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</si>
  <si>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</si>
  <si>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</si>
  <si>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</si>
  <si>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</si>
  <si>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</si>
  <si>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</si>
  <si>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</si>
  <si>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</si>
  <si>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</si>
  <si>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</si>
  <si>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</si>
  <si>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</si>
  <si>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</si>
  <si>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</si>
  <si>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</si>
  <si>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</si>
  <si>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</si>
  <si>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</si>
  <si>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</si>
  <si>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</si>
  <si>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</si>
  <si>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</si>
  <si>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</si>
  <si>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</si>
  <si>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</si>
  <si>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</si>
  <si>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</si>
  <si>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</si>
  <si>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</si>
  <si>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</si>
  <si>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</si>
  <si>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</si>
  <si>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</si>
  <si>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</si>
  <si>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</si>
  <si>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</si>
  <si>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</si>
  <si>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</si>
  <si>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</si>
  <si>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</si>
  <si>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</si>
  <si>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</si>
  <si>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</si>
  <si>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</si>
  <si>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</si>
  <si>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</si>
  <si>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</si>
  <si>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</si>
  <si>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</si>
  <si>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</si>
  <si>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</si>
  <si>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</si>
  <si>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</si>
  <si>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</si>
  <si>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</si>
  <si>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</si>
  <si>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</si>
  <si>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</si>
  <si>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</si>
  <si>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</si>
  <si>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</si>
  <si>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</si>
  <si>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</si>
  <si>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</si>
  <si>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</si>
  <si>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</si>
  <si>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</si>
  <si>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</si>
  <si>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</si>
  <si>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</si>
  <si>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</si>
  <si>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</si>
  <si>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</si>
  <si>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</si>
  <si>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</si>
  <si>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</si>
  <si>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</si>
  <si>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</si>
  <si>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</si>
  <si>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</si>
  <si>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</si>
  <si>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</si>
  <si>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</si>
  <si>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</si>
  <si>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</si>
  <si>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</si>
  <si>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</si>
  <si>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</si>
  <si>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</si>
  <si>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</si>
  <si>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</si>
  <si>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</si>
  <si>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</si>
  <si>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</si>
  <si>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</si>
  <si>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</si>
  <si>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</si>
  <si>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</si>
  <si>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</si>
  <si>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</si>
  <si>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</si>
  <si>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</si>
  <si>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</si>
  <si>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</si>
  <si>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</si>
  <si>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</si>
  <si>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</si>
  <si>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</si>
  <si>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</si>
  <si>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</si>
  <si>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</si>
  <si>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</si>
  <si>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</si>
  <si>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</si>
  <si>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</si>
  <si>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</si>
  <si>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</si>
  <si>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</si>
  <si>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</si>
  <si>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</si>
  <si>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</si>
  <si>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</si>
  <si>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</si>
  <si>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</si>
  <si>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</si>
  <si>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</si>
  <si>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</si>
  <si>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</si>
  <si>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</si>
  <si>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</si>
  <si>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</si>
  <si>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</si>
  <si>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</si>
  <si>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</si>
  <si>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</si>
  <si>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</si>
  <si>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</si>
  <si>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</si>
  <si>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</si>
  <si>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</si>
  <si>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</si>
  <si>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</si>
  <si>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</si>
  <si>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</si>
  <si>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</si>
  <si>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</si>
  <si>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</si>
  <si>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</si>
  <si>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</si>
  <si>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</si>
  <si>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</si>
  <si>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</si>
  <si>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</si>
  <si>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</si>
  <si>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</si>
  <si>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</si>
  <si>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</si>
  <si>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</si>
  <si>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</si>
  <si>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</si>
  <si>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</si>
  <si>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</si>
  <si>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</si>
  <si>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</si>
  <si>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</si>
  <si>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</si>
  <si>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</si>
  <si>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</si>
  <si>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</si>
  <si>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</si>
  <si>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</si>
  <si>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</si>
  <si>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</si>
  <si>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</si>
  <si>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</si>
  <si>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</si>
  <si>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</si>
  <si>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</si>
  <si>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</si>
  <si>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</si>
  <si>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</si>
  <si>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</si>
  <si>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</si>
  <si>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</si>
  <si>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</si>
  <si>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</si>
  <si>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</si>
  <si>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</si>
  <si>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</si>
  <si>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</si>
  <si>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</si>
  <si>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</si>
  <si>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</si>
  <si>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</si>
  <si>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</si>
  <si>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</si>
  <si>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</si>
  <si>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</si>
  <si>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</si>
  <si>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</si>
  <si>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</si>
  <si>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</si>
  <si>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</si>
  <si>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</si>
  <si>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</si>
  <si>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</si>
  <si>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</si>
  <si>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</si>
  <si>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</si>
  <si>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</si>
  <si>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</si>
  <si>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</si>
  <si>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</si>
  <si>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</si>
  <si>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</si>
  <si>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</si>
  <si>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</si>
  <si>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</si>
  <si>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</si>
  <si>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</si>
  <si>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</si>
  <si>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</si>
  <si>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</si>
  <si>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</si>
  <si>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</si>
  <si>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</si>
  <si>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</si>
  <si>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</si>
  <si>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</si>
  <si>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</si>
  <si>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</si>
  <si>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</si>
  <si>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</si>
  <si>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</si>
  <si>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</si>
  <si>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</si>
  <si>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</si>
  <si>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</si>
  <si>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</si>
  <si>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</si>
  <si>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</si>
  <si>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</si>
  <si>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</si>
  <si>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</si>
  <si>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</si>
  <si>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</si>
  <si>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</si>
  <si>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</si>
  <si>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</si>
  <si>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</si>
  <si>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</si>
  <si>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</si>
  <si>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</si>
  <si>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</si>
  <si>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</si>
  <si>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</si>
  <si>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</si>
  <si>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</si>
  <si>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</si>
  <si>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</si>
  <si>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</si>
  <si>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</si>
  <si>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</si>
  <si>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</si>
  <si>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</si>
  <si>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</si>
  <si>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</si>
  <si>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</si>
  <si>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</si>
  <si>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</si>
  <si>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</si>
  <si>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</si>
  <si>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</si>
  <si>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</si>
  <si>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</si>
  <si>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</si>
  <si>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</si>
  <si>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</si>
  <si>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</si>
  <si>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</si>
  <si>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</si>
  <si>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</si>
  <si>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</si>
  <si>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</si>
  <si>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</si>
  <si>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</si>
  <si>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</si>
  <si>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</si>
  <si>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</si>
  <si>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</si>
  <si>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</si>
  <si>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</si>
  <si>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</si>
  <si>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</si>
  <si>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</si>
  <si>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</si>
  <si>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</si>
  <si>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</si>
  <si>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</si>
  <si>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</si>
  <si>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</si>
  <si>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</si>
  <si>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</si>
  <si>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</si>
  <si>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</si>
  <si>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</si>
  <si>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</si>
  <si>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</si>
  <si>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</si>
  <si>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</si>
  <si>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</si>
  <si>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</si>
  <si>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</si>
  <si>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</si>
  <si>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</si>
  <si>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</si>
  <si>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</si>
  <si>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</si>
  <si>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</si>
  <si>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</si>
  <si>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</si>
  <si>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</si>
  <si>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</si>
  <si>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</si>
  <si>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</si>
  <si>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</si>
  <si>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</si>
  <si>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</si>
  <si>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</si>
  <si>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</si>
  <si>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</si>
  <si>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</si>
  <si>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</si>
  <si>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</si>
  <si>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</si>
  <si>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</si>
  <si>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</si>
  <si>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</si>
  <si>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</si>
  <si>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</si>
  <si>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</si>
  <si>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</si>
  <si>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</si>
  <si>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</si>
  <si>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</si>
  <si>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</si>
  <si>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</si>
  <si>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</si>
  <si>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</si>
  <si>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</si>
  <si>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</si>
  <si>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</si>
  <si>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</si>
  <si>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</si>
  <si>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</si>
  <si>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</si>
  <si>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</si>
  <si>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</si>
  <si>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</si>
  <si>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</si>
  <si>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</si>
  <si>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</si>
  <si>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</si>
  <si>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</si>
  <si>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</si>
  <si>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</si>
  <si>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</si>
  <si>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</si>
  <si>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</si>
  <si>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</si>
  <si>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</si>
  <si>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</si>
  <si>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</si>
  <si>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</si>
  <si>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</si>
  <si>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</si>
  <si>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</si>
  <si>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</si>
  <si>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</si>
  <si>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</si>
  <si>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</si>
  <si>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</si>
  <si>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</si>
  <si>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</si>
  <si>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</si>
  <si>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</si>
  <si>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</si>
  <si>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</si>
  <si>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</si>
  <si>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</si>
  <si>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</si>
  <si>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</si>
  <si>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</si>
  <si>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</si>
  <si>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</si>
  <si>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</si>
  <si>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</si>
  <si>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</si>
  <si>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</si>
  <si>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</si>
  <si>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</si>
  <si>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</si>
  <si>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</si>
  <si>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</si>
  <si>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</si>
  <si>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</si>
  <si>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</si>
  <si>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</si>
  <si>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</si>
  <si>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</si>
  <si>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</si>
  <si>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</si>
  <si>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</si>
  <si>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</si>
  <si>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</si>
  <si>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</si>
  <si>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</si>
  <si>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</si>
  <si>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</si>
  <si>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</si>
  <si>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</si>
  <si>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</si>
  <si>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</si>
  <si>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</si>
  <si>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</si>
  <si>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</si>
  <si>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</si>
  <si>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</si>
  <si>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</si>
  <si>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</si>
  <si>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</si>
  <si>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</si>
  <si>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</si>
  <si>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</si>
  <si>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</si>
  <si>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</si>
  <si>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</si>
  <si>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</si>
  <si>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</si>
  <si>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</si>
  <si>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</si>
  <si>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</si>
  <si>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</si>
  <si>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</si>
  <si>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</si>
  <si>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</si>
  <si>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</si>
  <si>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</si>
  <si>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</si>
  <si>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</si>
  <si>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</si>
  <si>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</si>
  <si>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</si>
  <si>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</si>
  <si>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</si>
  <si>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</si>
  <si>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</si>
  <si>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</si>
  <si>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</si>
  <si>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</si>
  <si>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</si>
  <si>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</si>
  <si>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</si>
  <si>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</si>
  <si>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</si>
  <si>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</si>
  <si>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</si>
  <si>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</si>
  <si>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</si>
  <si>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</si>
  <si>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</si>
  <si>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</si>
  <si>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</si>
  <si>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</si>
  <si>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</si>
  <si>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</si>
  <si>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</si>
  <si>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</si>
  <si>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</si>
  <si>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</si>
  <si>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</si>
  <si>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</si>
  <si>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</si>
  <si>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</si>
  <si>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</si>
  <si>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</si>
  <si>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</si>
  <si>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</si>
  <si>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</si>
  <si>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</si>
  <si>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</si>
  <si>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</si>
  <si>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</si>
  <si>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</si>
  <si>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</si>
  <si>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</si>
  <si>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</si>
  <si>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</si>
  <si>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</si>
  <si>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</si>
  <si>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</si>
  <si>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</si>
  <si>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</si>
  <si>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</si>
  <si>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</si>
  <si>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</si>
  <si>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</si>
  <si>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</si>
  <si>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</si>
  <si>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</si>
  <si>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</si>
  <si>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</si>
  <si>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</si>
  <si>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</si>
  <si>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</si>
  <si>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</si>
  <si>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</si>
  <si>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</si>
  <si>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</si>
  <si>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</si>
  <si>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</si>
  <si>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</si>
  <si>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</si>
  <si>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</si>
  <si>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</si>
  <si>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</si>
  <si>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</si>
  <si>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</si>
  <si>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</si>
  <si>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</si>
  <si>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</si>
  <si>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</si>
  <si>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</si>
  <si>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</si>
  <si>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</si>
  <si>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</si>
  <si>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</si>
  <si>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</si>
  <si>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</si>
  <si>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</si>
  <si>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</si>
  <si>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Yoursy Yao</t>
    <phoneticPr fontId="2" type="noConversion"/>
  </si>
  <si>
    <t>Ryan Huang</t>
    <phoneticPr fontId="2" type="noConversion"/>
  </si>
  <si>
    <t>yuda chen</t>
    <phoneticPr fontId="2" type="noConversion"/>
  </si>
  <si>
    <t>YUKANG GUI</t>
    <phoneticPr fontId="2" type="noConversion"/>
  </si>
  <si>
    <t>Reger tseng</t>
    <phoneticPr fontId="2" type="noConversion"/>
  </si>
  <si>
    <t>Justin Yau</t>
    <phoneticPr fontId="2" type="noConversion"/>
  </si>
  <si>
    <t xml:space="preserve"> 可38 hr</t>
    <phoneticPr fontId="2" type="noConversion"/>
  </si>
  <si>
    <t>8/11 no break</t>
    <phoneticPr fontId="2" type="noConversion"/>
  </si>
  <si>
    <t>可38 hr</t>
    <phoneticPr fontId="2" type="noConversion"/>
  </si>
  <si>
    <t>6/11 no break</t>
    <phoneticPr fontId="2" type="noConversion"/>
  </si>
  <si>
    <t>Ka</t>
  </si>
  <si>
    <t>Calvin Wong</t>
  </si>
  <si>
    <t>Sat: 5-7pm</t>
  </si>
  <si>
    <t>Fri:22-24:30</t>
  </si>
  <si>
    <t>Mon: 22-24:30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</si>
</sst>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5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4"/>
      <color rgb="FF0C0C0C"/>
      <name val="圓體-簡 標準體"/>
      <charset val="134"/>
    </font>
    <font>
      <sz val="24"/>
      <color rgb="FFFF0000"/>
      <name val="圓體-簡 標準體"/>
      <charset val="134"/>
    </font>
    <font>
      <sz val="24"/>
      <color rgb="FF000000"/>
      <name val="圓體-簡 標準體"/>
      <charset val="134"/>
    </font>
    <font>
      <sz val="24"/>
      <color theme="1"/>
      <name val="圓體-簡 標準體"/>
      <charset val="134"/>
    </font>
    <font>
      <sz val="24"/>
      <color theme="1"/>
      <name val="Helvetica Neue"/>
      <family val="2"/>
    </font>
    <font>
      <sz val="24"/>
      <color rgb="FF00B0F0"/>
      <name val="圓體-簡 標準體"/>
      <charset val="134"/>
    </font>
    <font>
      <sz val="20"/>
      <color rgb="FF00B0F0"/>
      <name val="Helvetica Neue"/>
      <family val="2"/>
    </font>
    <font>
      <sz val="20"/>
      <color rgb="FFFF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 wrapText="1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vertical="center"/>
      <protection locked="0"/>
    </xf>
    <xf numFmtId="20" fontId="30" fillId="0" borderId="0" xfId="0" applyNumberFormat="1" applyFont="1" applyProtection="1">
      <protection locked="0"/>
    </xf>
    <xf numFmtId="20" fontId="48" fillId="0" borderId="0" xfId="0" applyNumberFormat="1" applyFont="1" applyAlignment="1" applyProtection="1">
      <alignment horizontal="center" vertical="center"/>
      <protection locked="0"/>
    </xf>
    <xf numFmtId="20" fontId="48" fillId="0" borderId="0" xfId="0" applyNumberFormat="1" applyFont="1" applyAlignment="1" applyProtection="1">
      <alignment horizontal="center" vertical="center" wrapText="1"/>
      <protection locked="0"/>
    </xf>
    <xf numFmtId="20" fontId="48" fillId="0" borderId="0" xfId="0" applyNumberFormat="1" applyFont="1" applyAlignment="1" applyProtection="1">
      <alignment horizontal="center" wrapText="1"/>
      <protection locked="0"/>
    </xf>
    <xf numFmtId="20" fontId="48" fillId="0" borderId="0" xfId="0" applyNumberFormat="1" applyFont="1" applyAlignment="1" applyProtection="1">
      <alignment horizontal="center"/>
      <protection locked="0"/>
    </xf>
    <xf numFmtId="20" fontId="30" fillId="0" borderId="0" xfId="0" applyNumberFormat="1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4" fontId="22" fillId="0" borderId="0" xfId="0" applyNumberFormat="1" applyFont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horizontal="center" wrapText="1"/>
      <protection locked="0"/>
    </xf>
    <xf numFmtId="0" fontId="43" fillId="0" borderId="0" xfId="0" applyFont="1" applyAlignment="1" applyProtection="1">
      <alignment horizontal="center" wrapText="1"/>
      <protection locked="0"/>
    </xf>
    <xf numFmtId="0" fontId="44" fillId="0" borderId="0" xfId="0" applyFont="1" applyAlignment="1" applyProtection="1">
      <alignment horizontal="center" wrapText="1"/>
      <protection locked="0"/>
    </xf>
    <xf numFmtId="0" fontId="45" fillId="0" borderId="0" xfId="0" applyFont="1" applyAlignment="1" applyProtection="1">
      <alignment horizontal="center" wrapText="1"/>
      <protection locked="0"/>
    </xf>
    <xf numFmtId="0" fontId="47" fillId="0" borderId="0" xfId="0" applyFont="1" applyAlignment="1" applyProtection="1">
      <alignment horizontal="center" wrapText="1"/>
      <protection locked="0"/>
    </xf>
    <xf numFmtId="0" fontId="46" fillId="0" borderId="0" xfId="0" applyFont="1" applyAlignment="1" applyProtection="1">
      <alignment horizontal="center" wrapText="1"/>
      <protection locked="0"/>
    </xf>
    <xf numFmtId="20" fontId="49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D5" sqref="AD5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10211</v>
      </c>
      <c r="B2" s="73" t="s">
        <v>615</v>
      </c>
      <c r="C2" s="100" t="s">
        <v>621</v>
      </c>
      <c r="D2" s="106">
        <v>0.77083333333333337</v>
      </c>
      <c r="E2" s="84">
        <v>1.0208333333333333</v>
      </c>
      <c r="F2" s="91">
        <f>BA2-BB2</f>
        <v>5.4999999999999973</v>
      </c>
      <c r="G2" s="106">
        <v>0.77083333333333337</v>
      </c>
      <c r="H2" s="84">
        <v>1.0208333333333333</v>
      </c>
      <c r="I2" s="91">
        <f>BF2-BG2</f>
        <v>5.4999999999999973</v>
      </c>
      <c r="J2" s="84">
        <v>0.89583333333333337</v>
      </c>
      <c r="K2" s="84">
        <v>1.0208333333333333</v>
      </c>
      <c r="L2" s="91">
        <f>BK2-BL2</f>
        <v>2.9999999999999973</v>
      </c>
      <c r="M2" s="75"/>
      <c r="N2" s="75"/>
      <c r="O2" s="91">
        <f>BP2-BQ2</f>
        <v>0</v>
      </c>
      <c r="P2" s="84"/>
      <c r="Q2" s="84"/>
      <c r="R2" s="91">
        <f>BU2-BV2</f>
        <v>0</v>
      </c>
      <c r="S2" s="84">
        <v>0.4375</v>
      </c>
      <c r="T2" s="84">
        <v>0.625</v>
      </c>
      <c r="U2" s="91">
        <f>BZ2-CA2</f>
        <v>4.5</v>
      </c>
      <c r="V2" s="84">
        <v>0.4375</v>
      </c>
      <c r="W2" s="84">
        <v>0.625</v>
      </c>
      <c r="X2" s="91">
        <f>CE2-CF2</f>
        <v>4.5</v>
      </c>
      <c r="Y2" s="91"/>
      <c r="Z2" s="91"/>
      <c r="AA2" s="91"/>
      <c r="AB2" s="91">
        <f>SUM(F2,I2,L2,O2,R2,U2,X2)</f>
        <v>22.999999999999993</v>
      </c>
      <c r="AC2" s="92"/>
      <c r="AD2" s="77">
        <v>2</v>
      </c>
      <c r="AE2" s="93">
        <f t="shared" ref="AE2:AE40" si="1">SUMIF($BC$1:$CI$1,AE$1,$BC2:$CI2)+AD2</f>
        <v>8.4999999999999947</v>
      </c>
      <c r="AF2" s="77">
        <v>0.5</v>
      </c>
      <c r="AG2" s="93">
        <f t="shared" ref="AG2:AG40" si="2">SUMIF($BC$1:$CI$1,AG$1,$BC2:$CI2)+AF2</f>
        <v>5</v>
      </c>
      <c r="AH2" s="78"/>
      <c r="AI2" s="93">
        <f t="shared" ref="AI2:AI40" si="3">SUMIF($BC$1:$CI$1,AI$1,$BC2:$CI2)+AH2</f>
        <v>4.5</v>
      </c>
      <c r="AJ2" s="77"/>
      <c r="AK2" s="93">
        <f t="shared" ref="AK2:AK40" si="4">SUMIF($BC$1:$CI$1,AK$1,$BC2:$CI2)+AJ2</f>
        <v>0</v>
      </c>
      <c r="AL2" s="77">
        <v>2</v>
      </c>
      <c r="AM2" s="93">
        <f t="shared" ref="AM2:AM40" si="5">SUMIF($BC$1:$CI$1,AM$1,$BC2:$CI2)+AL2</f>
        <v>8.0000000000000036</v>
      </c>
      <c r="AN2" s="77"/>
      <c r="AO2" s="93">
        <f t="shared" ref="AO2:AO40" si="6">SUMIF($BC$1:$CI$1,AO$1,$BC2:$CI2)+AN2</f>
        <v>1.4999999999999947</v>
      </c>
      <c r="AP2" s="94">
        <f>CK2</f>
        <v>5</v>
      </c>
      <c r="AQ2" s="77"/>
      <c r="AR2" s="77"/>
      <c r="AS2" s="77"/>
      <c r="AT2" s="44">
        <f>AE2+AG2+AI2+AK2+AM2+AO2+SUM(AQ2:AS2)</f>
        <v>27.499999999999993</v>
      </c>
      <c r="AU2" s="78" t="s">
        <v>1447</v>
      </c>
      <c r="AV2" s="5"/>
      <c r="AW2" s="5"/>
      <c r="AX2" s="5"/>
      <c r="AY2" s="5"/>
      <c r="AZ2" s="24">
        <f>VLOOKUP(C2,Employees!D:I,6,FALSE)</f>
        <v>10211</v>
      </c>
      <c r="BA2" s="5">
        <f>IF(ISBLANK(D2),0,(E2-D2)*24)</f>
        <v>5.9999999999999973</v>
      </c>
      <c r="BB2" s="5">
        <f>IF(BA2&gt;$AY$1,1,IF(BA2&gt;=$AX$1,0.5,0))</f>
        <v>0.5</v>
      </c>
      <c r="BC2" s="5">
        <f>BA2-BB2-BD2-BE2</f>
        <v>2.9999999999999982</v>
      </c>
      <c r="BD2" s="5">
        <f>IF(AND(E2&gt;$AV$1, D2&lt;$AW$1),(MIN(E2,$AW$1)-MAX(D2,$AV$1))*24,0)</f>
        <v>2.0000000000000009</v>
      </c>
      <c r="BE2" s="5">
        <f>IF(E2&gt;$AW$1,(E2-MAX(D2,$AW$1))*24,0)</f>
        <v>0.49999999999999822</v>
      </c>
      <c r="BF2" s="5">
        <f t="shared" ref="BF2" si="7">IF(ISBLANK(G2),0,(H2-G2)*24)</f>
        <v>5.9999999999999973</v>
      </c>
      <c r="BG2" s="5">
        <f>IF(BF2&gt;$AY$1,1,IF(BF2&gt;=$AX$1,0.5,0))</f>
        <v>0.5</v>
      </c>
      <c r="BH2" s="5">
        <f>BF2-BG2-BI2-BJ2</f>
        <v>2.9999999999999982</v>
      </c>
      <c r="BI2" s="5">
        <f>IF(AND(H2&gt;$AV$1,G2&lt;$AW$1),(MIN(H2,$AW$1)-MAX(G2,$AV$1))*24,0)</f>
        <v>2.0000000000000009</v>
      </c>
      <c r="BJ2" s="5">
        <f>IF(H2&gt;$AW$1,(H2-MAX(G2,$AW$1))*24,0)</f>
        <v>0.49999999999999822</v>
      </c>
      <c r="BK2" s="5">
        <f t="shared" ref="BK2" si="8">IF(ISBLANK(J2),0,(K2-J2)*24)</f>
        <v>2.9999999999999973</v>
      </c>
      <c r="BL2" s="5">
        <f>IF(BK2&gt;$AY$1,1,IF(BK2&gt;=$AX$1,0.5,0))</f>
        <v>0</v>
      </c>
      <c r="BM2" s="5">
        <f>BK2-BL2-BN2-BO2</f>
        <v>0.49999999999999822</v>
      </c>
      <c r="BN2" s="5">
        <f>IF(AND(K2&gt;$AV$1, J2&lt;$AW$1),(MIN(K2,$AW$1)-MAX(J2,$AV$1))*24,0)</f>
        <v>2.0000000000000009</v>
      </c>
      <c r="BO2" s="5">
        <f>IF(K2&gt;$AW$1,(K2-MAX(J2,$AW$1))*24,0)</f>
        <v>0.49999999999999822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4.5</v>
      </c>
      <c r="CA2" s="5">
        <f>IF(BZ2&gt;$AY$1,1,IF(BZ2&gt;=$AX$1,0.5,0))</f>
        <v>0</v>
      </c>
      <c r="CB2" s="5">
        <f>BZ2-CA2-CC2-CD2</f>
        <v>4.5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4.5</v>
      </c>
      <c r="CF2" s="5">
        <f>IF(CE2&gt;$AY$1,1,IF(CE2&gt;=$AX$1,0.5,0))</f>
        <v>0</v>
      </c>
      <c r="CG2" s="5">
        <f>CE2-CF2-CH2-CI2</f>
        <v>4.5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10412</v>
      </c>
      <c r="B3" s="73" t="s">
        <v>615</v>
      </c>
      <c r="C3" s="101" t="s">
        <v>1434</v>
      </c>
      <c r="D3" s="106">
        <v>0.89583333333333337</v>
      </c>
      <c r="E3" s="84">
        <v>1.0208333333333333</v>
      </c>
      <c r="F3" s="91">
        <f t="shared" ref="F3:F69" si="15">BA3-BB3</f>
        <v>2.9999999999999973</v>
      </c>
      <c r="G3" s="84">
        <v>0.4375</v>
      </c>
      <c r="H3" s="84">
        <v>1.0208333333333333</v>
      </c>
      <c r="I3" s="91">
        <f t="shared" ref="I3:I69" si="16">BF3-BG3</f>
        <v>12.999999999999998</v>
      </c>
      <c r="J3" s="106">
        <v>0.89583333333333337</v>
      </c>
      <c r="K3" s="84">
        <v>1.0208333333333333</v>
      </c>
      <c r="L3" s="91">
        <f t="shared" ref="L3:L69" si="17">BK3-BL3</f>
        <v>2.9999999999999973</v>
      </c>
      <c r="M3" s="106">
        <v>0.89583333333333337</v>
      </c>
      <c r="N3" s="84">
        <v>1.0208333333333333</v>
      </c>
      <c r="O3" s="91">
        <f t="shared" ref="O3:O69" si="18">BP3-BQ3</f>
        <v>2.9999999999999973</v>
      </c>
      <c r="P3" s="106">
        <v>0.625</v>
      </c>
      <c r="Q3" s="84">
        <v>1.0208333333333333</v>
      </c>
      <c r="R3" s="91">
        <f t="shared" ref="R3:R69" si="19">BU3-BV3</f>
        <v>8.4999999999999982</v>
      </c>
      <c r="S3" s="113">
        <v>0.89583333333333337</v>
      </c>
      <c r="T3" s="114">
        <v>1.0208333333333333</v>
      </c>
      <c r="U3" s="91">
        <f t="shared" ref="U3:U69" si="20">BZ3-CA3</f>
        <v>2.9999999999999973</v>
      </c>
      <c r="V3" s="106">
        <v>0.89583333333333337</v>
      </c>
      <c r="W3" s="84">
        <v>1.0208333333333333</v>
      </c>
      <c r="X3" s="91">
        <f t="shared" ref="X3:X69" si="21">CE3-CF3</f>
        <v>2.9999999999999973</v>
      </c>
      <c r="Y3" s="91"/>
      <c r="Z3" s="91"/>
      <c r="AA3" s="91"/>
      <c r="AB3" s="91">
        <f t="shared" ref="AB3:AB69" si="22">SUM(F3,I3,L3,O3,R3,U3,X3)</f>
        <v>36.499999999999986</v>
      </c>
      <c r="AC3" s="92"/>
      <c r="AD3" s="77"/>
      <c r="AE3" s="93">
        <f t="shared" si="1"/>
        <v>17.999999999999993</v>
      </c>
      <c r="AF3" s="77"/>
      <c r="AG3" s="93">
        <f t="shared" si="2"/>
        <v>2.9999999999999973</v>
      </c>
      <c r="AH3" s="78"/>
      <c r="AI3" s="93">
        <f t="shared" si="3"/>
        <v>2.9999999999999973</v>
      </c>
      <c r="AJ3" s="77"/>
      <c r="AK3" s="93">
        <f t="shared" si="4"/>
        <v>0</v>
      </c>
      <c r="AL3" s="77"/>
      <c r="AM3" s="93">
        <f t="shared" si="5"/>
        <v>10.000000000000004</v>
      </c>
      <c r="AN3" s="77"/>
      <c r="AO3" s="93">
        <f t="shared" si="6"/>
        <v>2.4999999999999911</v>
      </c>
      <c r="AP3" s="94">
        <f t="shared" ref="AP3:AP69" si="23">CK3</f>
        <v>7</v>
      </c>
      <c r="AQ3" s="77"/>
      <c r="AR3" s="77"/>
      <c r="AS3" s="77"/>
      <c r="AT3" s="44">
        <f t="shared" ref="AT3:AT69" si="24">AE3+AG3+AI3+AK3+AM3+AO3+SUM(AQ3:AS3)</f>
        <v>36.499999999999979</v>
      </c>
      <c r="AU3" s="78"/>
      <c r="AV3" s="5"/>
      <c r="AW3" s="5"/>
      <c r="AX3" s="5"/>
      <c r="AY3" s="5"/>
      <c r="AZ3" s="24">
        <f>VLOOKUP(C3,Employees!D:I,6,FALSE)</f>
        <v>10412</v>
      </c>
      <c r="BA3" s="5">
        <f t="shared" ref="BA3:BA66" si="25">IF(ISBLANK(D3),0,(E3-D3)*24)</f>
        <v>2.9999999999999973</v>
      </c>
      <c r="BB3" s="5">
        <f t="shared" ref="BB3:BB66" si="26">IF(BA3&gt;$AY$1,1,IF(BA3&gt;=$AX$1,0.5,0))</f>
        <v>0</v>
      </c>
      <c r="BC3" s="5">
        <f t="shared" ref="BC3:BC66" si="27">BA3-BB3-BD3-BE3</f>
        <v>0.49999999999999822</v>
      </c>
      <c r="BD3" s="5">
        <f>IF(AND(E3&gt;$AV$1, D3&lt;$AW$1),(MIN(E3,$AW$1)-MAX(D3,$AV$1))*24,0)</f>
        <v>2.0000000000000009</v>
      </c>
      <c r="BE3" s="5">
        <f t="shared" ref="BE3:BE66" si="28">IF(E3&gt;$AW$1,(E3-MAX(D3,$AW$1))*24,0)</f>
        <v>0.49999999999999822</v>
      </c>
      <c r="BF3" s="5">
        <f t="shared" ref="BF3:BF66" si="29">IF(ISBLANK(G3),0,(H3-G3)*24)</f>
        <v>13.999999999999998</v>
      </c>
      <c r="BG3" s="5">
        <f t="shared" ref="BG3:BG66" si="30">IF(BF3&gt;$AY$1,1,IF(BF3&gt;=$AX$1,0.5,0))</f>
        <v>1</v>
      </c>
      <c r="BH3" s="5">
        <f t="shared" ref="BH3:BH66" si="31">BF3-BG3-BI3-BJ3</f>
        <v>10.499999999999998</v>
      </c>
      <c r="BI3" s="5">
        <f t="shared" ref="BI3:BI66" si="32">IF(AND(H3&gt;$AV$1,G3&lt;$AW$1),(MIN(H3,$AW$1)-MAX(G3,$AV$1))*24,0)</f>
        <v>2.0000000000000009</v>
      </c>
      <c r="BJ3" s="5">
        <f t="shared" ref="BJ3:BJ66" si="33">IF(H3&gt;$AW$1,(H3-MAX(G3,$AW$1))*24,0)</f>
        <v>0.49999999999999822</v>
      </c>
      <c r="BK3" s="5">
        <f t="shared" ref="BK3:BK66" si="34">IF(ISBLANK(J3),0,(K3-J3)*24)</f>
        <v>2.9999999999999973</v>
      </c>
      <c r="BL3" s="5">
        <f t="shared" ref="BL3:BL66" si="35">IF(BK3&gt;$AY$1,1,IF(BK3&gt;=$AX$1,0.5,0))</f>
        <v>0</v>
      </c>
      <c r="BM3" s="5">
        <f t="shared" ref="BM3:BM66" si="36">BK3-BL3-BN3-BO3</f>
        <v>0.49999999999999822</v>
      </c>
      <c r="BN3" s="5">
        <f t="shared" ref="BN3:BN66" si="37">IF(AND(K3&gt;$AV$1, J3&lt;$AW$1),(MIN(K3,$AW$1)-MAX(J3,$AV$1))*24,0)</f>
        <v>2.0000000000000009</v>
      </c>
      <c r="BO3" s="5">
        <f t="shared" ref="BO3:BO66" si="38">IF(K3&gt;$AW$1,(K3-MAX(J3,$AW$1))*24,0)</f>
        <v>0.49999999999999822</v>
      </c>
      <c r="BP3" s="5">
        <f t="shared" ref="BP3:BP66" si="39">IF(ISBLANK(M3),0,(N3-M3)*24)</f>
        <v>2.9999999999999973</v>
      </c>
      <c r="BQ3" s="5">
        <f t="shared" ref="BQ3:BQ66" si="40">IF(BP3&gt;$AY$1,1,IF(BP3&gt;=$AX$1,0.5,0))</f>
        <v>0</v>
      </c>
      <c r="BR3" s="5">
        <f t="shared" ref="BR3:BR66" si="41">BP3-BQ3-BS3-BT3</f>
        <v>0.49999999999999822</v>
      </c>
      <c r="BS3" s="5">
        <f t="shared" ref="BS3:BS66" si="42">IF(AND(N3&gt;$AV$1, M3&lt;$AW$1),(MIN(N3,$AW$1)-MAX(M3,$AV$1))*24,0)</f>
        <v>2.0000000000000009</v>
      </c>
      <c r="BT3" s="5">
        <f t="shared" ref="BT3:BT66" si="43">IF(N3&gt;$AW$1,(N3-MAX(M3,$AW$1))*24,0)</f>
        <v>0.49999999999999822</v>
      </c>
      <c r="BU3" s="5">
        <f t="shared" ref="BU3:BU66" si="44">IF(ISBLANK(P3),0,(Q3-P3)*24)</f>
        <v>9.4999999999999982</v>
      </c>
      <c r="BV3" s="5">
        <f t="shared" ref="BV3:BV66" si="45">IF(BU3&gt;$AY$1,1,IF(BU3&gt;=$AX$1,0.5,0))</f>
        <v>1</v>
      </c>
      <c r="BW3" s="5">
        <f t="shared" ref="BW3:BW66" si="46">BU3-BV3-BX3-BY3</f>
        <v>5.9999999999999991</v>
      </c>
      <c r="BX3" s="5">
        <f t="shared" ref="BX3:BX66" si="47">IF(AND(Q3&gt;$AV$1, P3&lt;$AW$1),(MIN(Q3,$AW$1)-MAX(P3,$AV$1))*24,0)</f>
        <v>2.0000000000000009</v>
      </c>
      <c r="BY3" s="5">
        <f t="shared" si="11"/>
        <v>0.49999999999999822</v>
      </c>
      <c r="BZ3" s="5">
        <f t="shared" ref="BZ3:BZ66" si="48">IF(ISBLANK(S3),0,(T3-S3)*24)</f>
        <v>2.9999999999999973</v>
      </c>
      <c r="CA3" s="5">
        <f t="shared" ref="CA3:CA66" si="49">IF(BZ3&gt;$AY$1,1,IF(BZ3&gt;=$AX$1,0.5,0))</f>
        <v>0</v>
      </c>
      <c r="CB3" s="5">
        <f t="shared" ref="CB3:CB66" si="50">BZ3-CA3-CC3-CD3</f>
        <v>0.49999999999999822</v>
      </c>
      <c r="CC3" s="5">
        <f t="shared" ref="CC3:CC66" si="51">IF(AND(T3&gt;$AV$1, S3&lt;$AW$1),(MIN(T3,$AW$1)-MAX(S3,$AV$1))*24,0)</f>
        <v>2.0000000000000009</v>
      </c>
      <c r="CD3" s="5">
        <f t="shared" ref="CD3:CD66" si="52">IF(T3&gt;$AW$1,(T3-MAX(S3,$AW$1))*24,0)</f>
        <v>0.49999999999999822</v>
      </c>
      <c r="CE3" s="5">
        <f t="shared" ref="CE3:CE66" si="53">IF(ISBLANK(V3),0,(W3-V3)*24)</f>
        <v>2.9999999999999973</v>
      </c>
      <c r="CF3" s="5">
        <f t="shared" ref="CF3:CF66" si="54">IF(CE3&gt;$AY$1,1,IF(CE3&gt;=$AX$1,0.5,0))</f>
        <v>0</v>
      </c>
      <c r="CG3" s="5">
        <f t="shared" ref="CG3:CG66" si="55">CE3-CF3-CH3-CI3</f>
        <v>0.49999999999999822</v>
      </c>
      <c r="CH3" s="5">
        <f t="shared" ref="CH3:CH66" si="56">IF(AND(W3&gt;$AV$1, V3&lt;$AW$1),(MIN(W3,$AW$1)-MAX(V3,$AV$1))*24,0)</f>
        <v>2.0000000000000009</v>
      </c>
      <c r="CI3" s="5">
        <f t="shared" ref="CI3:CI66" si="57">IF(W3&gt;$AW$1,(W3-MAX(V3,$AW$1))*24,0)</f>
        <v>0.49999999999999822</v>
      </c>
      <c r="CJ3" s="5"/>
      <c r="CK3" s="4">
        <f t="shared" si="14"/>
        <v>7</v>
      </c>
    </row>
    <row r="4" spans="1:89" ht="38" customHeight="1">
      <c r="A4" s="74">
        <f t="shared" si="0"/>
        <v>10299</v>
      </c>
      <c r="B4" s="73" t="s">
        <v>615</v>
      </c>
      <c r="C4" s="102" t="s">
        <v>1435</v>
      </c>
      <c r="D4" s="84"/>
      <c r="E4" s="84"/>
      <c r="F4" s="91">
        <f t="shared" si="15"/>
        <v>0</v>
      </c>
      <c r="G4" s="107"/>
      <c r="H4" s="107"/>
      <c r="I4" s="91">
        <f t="shared" si="16"/>
        <v>0</v>
      </c>
      <c r="J4" s="84">
        <v>0.79166666666666663</v>
      </c>
      <c r="K4" s="84">
        <v>0.91666666666666663</v>
      </c>
      <c r="L4" s="91">
        <f t="shared" si="17"/>
        <v>3</v>
      </c>
      <c r="M4" s="84"/>
      <c r="N4" s="84"/>
      <c r="O4" s="91">
        <f t="shared" si="18"/>
        <v>0</v>
      </c>
      <c r="P4" s="84"/>
      <c r="Q4" s="84"/>
      <c r="R4" s="91">
        <f t="shared" si="19"/>
        <v>0</v>
      </c>
      <c r="S4" s="108"/>
      <c r="T4" s="108"/>
      <c r="U4" s="91">
        <f t="shared" si="20"/>
        <v>0</v>
      </c>
      <c r="V4" s="84">
        <v>0.625</v>
      </c>
      <c r="W4" s="84">
        <v>0.83333333333333337</v>
      </c>
      <c r="X4" s="91">
        <f t="shared" si="21"/>
        <v>5.0000000000000009</v>
      </c>
      <c r="Y4" s="91"/>
      <c r="Z4" s="91"/>
      <c r="AA4" s="91"/>
      <c r="AB4" s="91">
        <f t="shared" si="22"/>
        <v>8</v>
      </c>
      <c r="AC4" s="92"/>
      <c r="AD4" s="77"/>
      <c r="AE4" s="93">
        <f t="shared" si="1"/>
        <v>3</v>
      </c>
      <c r="AF4" s="77"/>
      <c r="AG4" s="93">
        <f t="shared" si="2"/>
        <v>0</v>
      </c>
      <c r="AH4" s="78"/>
      <c r="AI4" s="93">
        <f t="shared" si="3"/>
        <v>5.0000000000000009</v>
      </c>
      <c r="AJ4" s="77"/>
      <c r="AK4" s="93">
        <f t="shared" si="4"/>
        <v>0</v>
      </c>
      <c r="AL4" s="77">
        <v>2</v>
      </c>
      <c r="AM4" s="93">
        <f t="shared" si="5"/>
        <v>2</v>
      </c>
      <c r="AN4" s="77">
        <v>0.5</v>
      </c>
      <c r="AO4" s="93">
        <f t="shared" si="6"/>
        <v>0.5</v>
      </c>
      <c r="AP4" s="94">
        <f t="shared" si="23"/>
        <v>2</v>
      </c>
      <c r="AQ4" s="77"/>
      <c r="AR4" s="77"/>
      <c r="AS4" s="77"/>
      <c r="AT4" s="44">
        <f t="shared" si="24"/>
        <v>10.5</v>
      </c>
      <c r="AU4" s="78" t="s">
        <v>1448</v>
      </c>
      <c r="AV4" s="5"/>
      <c r="AW4" s="5"/>
      <c r="AX4" s="5"/>
      <c r="AY4" s="5"/>
      <c r="AZ4" s="24">
        <f>VLOOKUP(C4,Employees!D:I,6,FALSE)</f>
        <v>10299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3</v>
      </c>
      <c r="BL4" s="5">
        <f t="shared" si="35"/>
        <v>0</v>
      </c>
      <c r="BM4" s="5">
        <f t="shared" si="36"/>
        <v>3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5.0000000000000009</v>
      </c>
      <c r="CF4" s="5">
        <f t="shared" si="54"/>
        <v>0</v>
      </c>
      <c r="CG4" s="5">
        <f t="shared" si="55"/>
        <v>5.0000000000000009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10495</v>
      </c>
      <c r="B5" s="73" t="s">
        <v>615</v>
      </c>
      <c r="C5" s="103" t="s">
        <v>1436</v>
      </c>
      <c r="D5" s="84">
        <v>0.54166666666666663</v>
      </c>
      <c r="E5" s="84">
        <v>0.77083333333333337</v>
      </c>
      <c r="F5" s="91">
        <f t="shared" si="15"/>
        <v>5.0000000000000018</v>
      </c>
      <c r="G5" s="84">
        <v>0.875</v>
      </c>
      <c r="H5" s="84">
        <v>1.0208333333333333</v>
      </c>
      <c r="I5" s="91">
        <f t="shared" si="16"/>
        <v>3.4999999999999982</v>
      </c>
      <c r="J5" s="84"/>
      <c r="K5" s="84"/>
      <c r="L5" s="91">
        <f t="shared" si="17"/>
        <v>0</v>
      </c>
      <c r="M5" s="84">
        <v>0.4375</v>
      </c>
      <c r="N5" s="84">
        <v>0.625</v>
      </c>
      <c r="O5" s="91">
        <f t="shared" si="18"/>
        <v>4.5</v>
      </c>
      <c r="P5" s="84">
        <v>0.4375</v>
      </c>
      <c r="Q5" s="84">
        <v>0.625</v>
      </c>
      <c r="R5" s="91">
        <f t="shared" si="19"/>
        <v>4.5</v>
      </c>
      <c r="S5" s="84">
        <v>0.5</v>
      </c>
      <c r="T5" s="84">
        <v>1.0208333333333333</v>
      </c>
      <c r="U5" s="91">
        <f t="shared" si="20"/>
        <v>11.499999999999998</v>
      </c>
      <c r="V5" s="84">
        <v>0.83333333333333337</v>
      </c>
      <c r="W5" s="84">
        <v>1.0208333333333333</v>
      </c>
      <c r="X5" s="91">
        <f t="shared" si="21"/>
        <v>4.4999999999999973</v>
      </c>
      <c r="Y5" s="91"/>
      <c r="Z5" s="91"/>
      <c r="AA5" s="91"/>
      <c r="AB5" s="91">
        <f t="shared" si="22"/>
        <v>33.5</v>
      </c>
      <c r="AC5" s="92"/>
      <c r="AD5" s="78">
        <v>28.5</v>
      </c>
      <c r="AE5" s="93">
        <f t="shared" si="1"/>
        <v>43.5</v>
      </c>
      <c r="AF5" s="77"/>
      <c r="AG5" s="93">
        <f t="shared" si="2"/>
        <v>11</v>
      </c>
      <c r="AH5" s="78"/>
      <c r="AI5" s="93">
        <f t="shared" si="3"/>
        <v>4.4999999999999973</v>
      </c>
      <c r="AJ5" s="77"/>
      <c r="AK5" s="93">
        <f t="shared" si="4"/>
        <v>0</v>
      </c>
      <c r="AL5" s="77"/>
      <c r="AM5" s="93">
        <f t="shared" si="5"/>
        <v>2.0000000000000009</v>
      </c>
      <c r="AN5" s="77"/>
      <c r="AO5" s="93">
        <f t="shared" si="6"/>
        <v>0.99999999999999645</v>
      </c>
      <c r="AP5" s="94">
        <f t="shared" si="23"/>
        <v>6</v>
      </c>
      <c r="AQ5" s="77"/>
      <c r="AR5" s="77"/>
      <c r="AS5" s="77"/>
      <c r="AT5" s="44">
        <f t="shared" si="24"/>
        <v>62</v>
      </c>
      <c r="AU5" s="115" t="s">
        <v>1440</v>
      </c>
      <c r="AV5" s="5"/>
      <c r="AW5" s="5"/>
      <c r="AX5" s="5"/>
      <c r="AY5" s="5"/>
      <c r="AZ5" s="24">
        <f>VLOOKUP(C5,Employees!D:I,6,FALSE)</f>
        <v>10495</v>
      </c>
      <c r="BA5" s="5">
        <f t="shared" si="25"/>
        <v>5.5000000000000018</v>
      </c>
      <c r="BB5" s="5">
        <f t="shared" si="26"/>
        <v>0.5</v>
      </c>
      <c r="BC5" s="5">
        <f t="shared" si="27"/>
        <v>5.0000000000000018</v>
      </c>
      <c r="BD5" s="5">
        <f t="shared" si="58"/>
        <v>0</v>
      </c>
      <c r="BE5" s="5">
        <f t="shared" si="28"/>
        <v>0</v>
      </c>
      <c r="BF5" s="5">
        <f t="shared" si="29"/>
        <v>3.4999999999999982</v>
      </c>
      <c r="BG5" s="5">
        <f t="shared" si="30"/>
        <v>0</v>
      </c>
      <c r="BH5" s="5">
        <f t="shared" si="31"/>
        <v>0.99999999999999911</v>
      </c>
      <c r="BI5" s="5">
        <f t="shared" si="32"/>
        <v>2.0000000000000009</v>
      </c>
      <c r="BJ5" s="5">
        <f t="shared" si="33"/>
        <v>0.49999999999999822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4.5</v>
      </c>
      <c r="BQ5" s="5">
        <f t="shared" si="40"/>
        <v>0</v>
      </c>
      <c r="BR5" s="5">
        <f t="shared" si="41"/>
        <v>4.5</v>
      </c>
      <c r="BS5" s="5">
        <f t="shared" si="42"/>
        <v>0</v>
      </c>
      <c r="BT5" s="5">
        <f t="shared" si="43"/>
        <v>0</v>
      </c>
      <c r="BU5" s="5">
        <f t="shared" si="44"/>
        <v>4.5</v>
      </c>
      <c r="BV5" s="5">
        <f t="shared" si="45"/>
        <v>0</v>
      </c>
      <c r="BW5" s="5">
        <f t="shared" si="46"/>
        <v>4.5</v>
      </c>
      <c r="BX5" s="5">
        <f t="shared" si="47"/>
        <v>0</v>
      </c>
      <c r="BY5" s="5">
        <f t="shared" si="11"/>
        <v>0</v>
      </c>
      <c r="BZ5" s="5">
        <f t="shared" si="48"/>
        <v>12.499999999999998</v>
      </c>
      <c r="CA5" s="5">
        <f t="shared" si="49"/>
        <v>1</v>
      </c>
      <c r="CB5" s="5">
        <f t="shared" si="50"/>
        <v>8.9999999999999982</v>
      </c>
      <c r="CC5" s="5">
        <f t="shared" si="51"/>
        <v>2.0000000000000009</v>
      </c>
      <c r="CD5" s="5">
        <f t="shared" si="52"/>
        <v>0.49999999999999822</v>
      </c>
      <c r="CE5" s="5">
        <f t="shared" si="53"/>
        <v>4.4999999999999973</v>
      </c>
      <c r="CF5" s="5">
        <f t="shared" si="54"/>
        <v>0</v>
      </c>
      <c r="CG5" s="5">
        <f t="shared" si="55"/>
        <v>1.9999999999999982</v>
      </c>
      <c r="CH5" s="5">
        <f t="shared" si="56"/>
        <v>2.0000000000000009</v>
      </c>
      <c r="CI5" s="5">
        <f t="shared" si="57"/>
        <v>0.49999999999999822</v>
      </c>
      <c r="CJ5" s="5"/>
      <c r="CK5" s="4">
        <f t="shared" si="14"/>
        <v>6</v>
      </c>
    </row>
    <row r="6" spans="1:89" ht="38" customHeight="1">
      <c r="A6" s="74">
        <f t="shared" si="0"/>
        <v>10448</v>
      </c>
      <c r="B6" s="73" t="s">
        <v>615</v>
      </c>
      <c r="C6" s="100" t="s">
        <v>1437</v>
      </c>
      <c r="D6" s="84"/>
      <c r="E6" s="84"/>
      <c r="F6" s="91">
        <f t="shared" si="15"/>
        <v>0</v>
      </c>
      <c r="G6" s="84"/>
      <c r="H6" s="84"/>
      <c r="I6" s="91">
        <f t="shared" si="16"/>
        <v>0</v>
      </c>
      <c r="J6" s="84">
        <v>0.4375</v>
      </c>
      <c r="K6" s="84">
        <v>0.75</v>
      </c>
      <c r="L6" s="91">
        <f t="shared" si="17"/>
        <v>7</v>
      </c>
      <c r="M6" s="84">
        <v>0.75</v>
      </c>
      <c r="N6" s="84">
        <v>1.0208333333333333</v>
      </c>
      <c r="O6" s="91">
        <f t="shared" si="18"/>
        <v>5.9999999999999982</v>
      </c>
      <c r="P6" s="84">
        <v>0.875</v>
      </c>
      <c r="Q6" s="84">
        <v>1.0208333333333333</v>
      </c>
      <c r="R6" s="91">
        <f t="shared" si="19"/>
        <v>3.4999999999999982</v>
      </c>
      <c r="S6" s="84">
        <v>0.79166666666666663</v>
      </c>
      <c r="T6" s="84">
        <v>1.0208333333333333</v>
      </c>
      <c r="U6" s="91">
        <f t="shared" si="20"/>
        <v>4.9999999999999991</v>
      </c>
      <c r="V6" s="84">
        <v>0.625</v>
      </c>
      <c r="W6" s="84">
        <v>1.0208333333333333</v>
      </c>
      <c r="X6" s="91">
        <f t="shared" si="21"/>
        <v>8.4999999999999982</v>
      </c>
      <c r="Y6" s="91"/>
      <c r="Z6" s="91"/>
      <c r="AA6" s="91"/>
      <c r="AB6" s="91">
        <f t="shared" si="22"/>
        <v>29.999999999999993</v>
      </c>
      <c r="AC6" s="92"/>
      <c r="AD6" s="78">
        <v>10</v>
      </c>
      <c r="AE6" s="93">
        <f t="shared" si="1"/>
        <v>21.5</v>
      </c>
      <c r="AF6" s="77"/>
      <c r="AG6" s="93">
        <f t="shared" si="2"/>
        <v>4.9999999999999991</v>
      </c>
      <c r="AH6" s="78"/>
      <c r="AI6" s="93">
        <f t="shared" si="3"/>
        <v>8.4999999999999982</v>
      </c>
      <c r="AJ6" s="77"/>
      <c r="AK6" s="93">
        <f t="shared" si="4"/>
        <v>0</v>
      </c>
      <c r="AL6" s="77"/>
      <c r="AM6" s="93">
        <f t="shared" si="5"/>
        <v>4.0000000000000018</v>
      </c>
      <c r="AN6" s="77"/>
      <c r="AO6" s="93">
        <f t="shared" si="6"/>
        <v>0.99999999999999645</v>
      </c>
      <c r="AP6" s="94">
        <f t="shared" si="23"/>
        <v>5</v>
      </c>
      <c r="AQ6" s="77"/>
      <c r="AR6" s="77"/>
      <c r="AS6" s="77"/>
      <c r="AT6" s="44">
        <f t="shared" si="24"/>
        <v>40</v>
      </c>
      <c r="AU6" s="78"/>
      <c r="AV6" s="5"/>
      <c r="AW6" s="5"/>
      <c r="AX6" s="5"/>
      <c r="AY6" s="5"/>
      <c r="AZ6" s="24">
        <f>VLOOKUP(C6,Employees!D:I,6,FALSE)</f>
        <v>10448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7.5</v>
      </c>
      <c r="BL6" s="5">
        <f t="shared" si="35"/>
        <v>0.5</v>
      </c>
      <c r="BM6" s="5">
        <f t="shared" si="36"/>
        <v>7</v>
      </c>
      <c r="BN6" s="5">
        <f t="shared" si="37"/>
        <v>0</v>
      </c>
      <c r="BO6" s="5">
        <f t="shared" si="38"/>
        <v>0</v>
      </c>
      <c r="BP6" s="5">
        <f t="shared" si="39"/>
        <v>6.4999999999999982</v>
      </c>
      <c r="BQ6" s="5">
        <f t="shared" si="40"/>
        <v>0.5</v>
      </c>
      <c r="BR6" s="5">
        <f t="shared" si="41"/>
        <v>3.4999999999999991</v>
      </c>
      <c r="BS6" s="5">
        <f t="shared" si="42"/>
        <v>2.0000000000000009</v>
      </c>
      <c r="BT6" s="5">
        <f t="shared" si="43"/>
        <v>0.49999999999999822</v>
      </c>
      <c r="BU6" s="5">
        <f t="shared" si="44"/>
        <v>3.4999999999999982</v>
      </c>
      <c r="BV6" s="5">
        <f t="shared" si="45"/>
        <v>0</v>
      </c>
      <c r="BW6" s="5">
        <f t="shared" si="46"/>
        <v>0.99999999999999911</v>
      </c>
      <c r="BX6" s="5">
        <f t="shared" si="47"/>
        <v>2.0000000000000009</v>
      </c>
      <c r="BY6" s="5">
        <f t="shared" si="11"/>
        <v>0.49999999999999822</v>
      </c>
      <c r="BZ6" s="5">
        <f t="shared" si="48"/>
        <v>5.4999999999999991</v>
      </c>
      <c r="CA6" s="5">
        <f t="shared" si="49"/>
        <v>0.5</v>
      </c>
      <c r="CB6" s="5">
        <f t="shared" si="50"/>
        <v>2.5</v>
      </c>
      <c r="CC6" s="5">
        <f t="shared" si="51"/>
        <v>2.0000000000000009</v>
      </c>
      <c r="CD6" s="5">
        <f t="shared" si="52"/>
        <v>0.49999999999999822</v>
      </c>
      <c r="CE6" s="5">
        <f t="shared" si="53"/>
        <v>9.4999999999999982</v>
      </c>
      <c r="CF6" s="5">
        <f t="shared" si="54"/>
        <v>1</v>
      </c>
      <c r="CG6" s="5">
        <f t="shared" si="55"/>
        <v>5.9999999999999991</v>
      </c>
      <c r="CH6" s="5">
        <f t="shared" si="56"/>
        <v>2.0000000000000009</v>
      </c>
      <c r="CI6" s="5">
        <f t="shared" si="57"/>
        <v>0.49999999999999822</v>
      </c>
      <c r="CJ6" s="5"/>
      <c r="CK6" s="4">
        <f t="shared" si="14"/>
        <v>5</v>
      </c>
    </row>
    <row r="7" spans="1:89" ht="38" customHeight="1">
      <c r="A7" s="74">
        <f t="shared" si="0"/>
        <v>210515</v>
      </c>
      <c r="B7" s="73" t="s">
        <v>615</v>
      </c>
      <c r="C7" s="104" t="s">
        <v>1414</v>
      </c>
      <c r="D7" s="75"/>
      <c r="E7" s="75"/>
      <c r="F7" s="91">
        <f t="shared" si="15"/>
        <v>0</v>
      </c>
      <c r="G7" s="108"/>
      <c r="H7" s="108"/>
      <c r="I7" s="91">
        <f t="shared" si="16"/>
        <v>0</v>
      </c>
      <c r="J7" s="109">
        <v>0.66666666666666663</v>
      </c>
      <c r="K7" s="109">
        <v>1.0208333333333333</v>
      </c>
      <c r="L7" s="91">
        <f t="shared" si="17"/>
        <v>8</v>
      </c>
      <c r="M7" s="110">
        <v>0.625</v>
      </c>
      <c r="N7" s="109">
        <v>0.83333333333333337</v>
      </c>
      <c r="O7" s="91">
        <f t="shared" si="18"/>
        <v>5.0000000000000009</v>
      </c>
      <c r="P7" s="110">
        <v>0.75</v>
      </c>
      <c r="Q7" s="109">
        <v>0.91666666666666663</v>
      </c>
      <c r="R7" s="91">
        <f t="shared" si="19"/>
        <v>3.9999999999999991</v>
      </c>
      <c r="S7" s="111"/>
      <c r="T7" s="112"/>
      <c r="U7" s="91">
        <f t="shared" si="20"/>
        <v>0</v>
      </c>
      <c r="V7" s="84"/>
      <c r="W7" s="84"/>
      <c r="X7" s="91">
        <f t="shared" si="21"/>
        <v>0</v>
      </c>
      <c r="Y7" s="91"/>
      <c r="Z7" s="91"/>
      <c r="AA7" s="91"/>
      <c r="AB7" s="91">
        <f t="shared" si="22"/>
        <v>17</v>
      </c>
      <c r="AC7" s="92"/>
      <c r="AD7" s="78"/>
      <c r="AE7" s="93">
        <f t="shared" si="1"/>
        <v>14.5</v>
      </c>
      <c r="AF7" s="77">
        <v>2</v>
      </c>
      <c r="AG7" s="93">
        <f t="shared" si="2"/>
        <v>2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2.0000000000000009</v>
      </c>
      <c r="AN7" s="77"/>
      <c r="AO7" s="93">
        <f t="shared" si="6"/>
        <v>0.49999999999999822</v>
      </c>
      <c r="AP7" s="94">
        <f t="shared" si="23"/>
        <v>3</v>
      </c>
      <c r="AQ7" s="77"/>
      <c r="AR7" s="77"/>
      <c r="AS7" s="77"/>
      <c r="AT7" s="44">
        <f t="shared" si="24"/>
        <v>19</v>
      </c>
      <c r="AU7" s="78" t="s">
        <v>1446</v>
      </c>
      <c r="AV7" s="5"/>
      <c r="AW7" s="5"/>
      <c r="AX7" s="5"/>
      <c r="AY7" s="5"/>
      <c r="AZ7" s="24">
        <f>VLOOKUP(C7,Employees!D:I,6,FALSE)</f>
        <v>210515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8.5</v>
      </c>
      <c r="BL7" s="5">
        <f t="shared" si="35"/>
        <v>0.5</v>
      </c>
      <c r="BM7" s="5">
        <f t="shared" si="36"/>
        <v>5.5000000000000009</v>
      </c>
      <c r="BN7" s="5">
        <f t="shared" si="37"/>
        <v>2.0000000000000009</v>
      </c>
      <c r="BO7" s="5">
        <f t="shared" si="38"/>
        <v>0.49999999999999822</v>
      </c>
      <c r="BP7" s="5">
        <f t="shared" si="39"/>
        <v>5.0000000000000009</v>
      </c>
      <c r="BQ7" s="5">
        <f t="shared" si="40"/>
        <v>0</v>
      </c>
      <c r="BR7" s="5">
        <f t="shared" si="41"/>
        <v>5.0000000000000009</v>
      </c>
      <c r="BS7" s="5">
        <f t="shared" si="42"/>
        <v>0</v>
      </c>
      <c r="BT7" s="5">
        <f t="shared" si="43"/>
        <v>0</v>
      </c>
      <c r="BU7" s="5">
        <f t="shared" si="44"/>
        <v>3.9999999999999991</v>
      </c>
      <c r="BV7" s="5">
        <f t="shared" si="45"/>
        <v>0</v>
      </c>
      <c r="BW7" s="5">
        <f t="shared" si="46"/>
        <v>3.9999999999999991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210524</v>
      </c>
      <c r="B8" s="73" t="s">
        <v>615</v>
      </c>
      <c r="C8" s="105" t="s">
        <v>1445</v>
      </c>
      <c r="D8" s="75"/>
      <c r="E8" s="75"/>
      <c r="F8" s="91">
        <f t="shared" si="15"/>
        <v>0</v>
      </c>
      <c r="G8" s="109">
        <v>0.41666666666666669</v>
      </c>
      <c r="H8" s="109">
        <v>0.70833333333333337</v>
      </c>
      <c r="I8" s="91">
        <f t="shared" si="16"/>
        <v>6.5</v>
      </c>
      <c r="J8" s="76"/>
      <c r="K8" s="75"/>
      <c r="L8" s="91">
        <f t="shared" si="17"/>
        <v>0</v>
      </c>
      <c r="M8" s="110">
        <v>0.83333333333333337</v>
      </c>
      <c r="N8" s="109">
        <v>1.0208333333333333</v>
      </c>
      <c r="O8" s="91">
        <f t="shared" si="18"/>
        <v>4.4999999999999973</v>
      </c>
      <c r="P8" s="84"/>
      <c r="Q8" s="84"/>
      <c r="R8" s="91">
        <f t="shared" si="19"/>
        <v>0</v>
      </c>
      <c r="S8" s="84"/>
      <c r="T8" s="84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10.999999999999996</v>
      </c>
      <c r="AC8" s="92"/>
      <c r="AD8" s="78"/>
      <c r="AE8" s="93">
        <f t="shared" si="1"/>
        <v>8.4999999999999982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2.0000000000000009</v>
      </c>
      <c r="AN8" s="77"/>
      <c r="AO8" s="93">
        <f t="shared" si="6"/>
        <v>0.49999999999999822</v>
      </c>
      <c r="AP8" s="94">
        <f t="shared" si="23"/>
        <v>2</v>
      </c>
      <c r="AQ8" s="77"/>
      <c r="AR8" s="77"/>
      <c r="AS8" s="77"/>
      <c r="AT8" s="44">
        <f t="shared" si="24"/>
        <v>10.999999999999998</v>
      </c>
      <c r="AU8" s="78"/>
      <c r="AV8" s="5"/>
      <c r="AW8" s="5"/>
      <c r="AX8" s="5"/>
      <c r="AY8" s="5"/>
      <c r="AZ8" s="24">
        <f>VLOOKUP(C8,Employees!D:I,6,FALSE)</f>
        <v>210524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7</v>
      </c>
      <c r="BG8" s="5">
        <f t="shared" si="30"/>
        <v>0.5</v>
      </c>
      <c r="BH8" s="5">
        <f t="shared" si="31"/>
        <v>6.5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4.4999999999999973</v>
      </c>
      <c r="BQ8" s="5">
        <f t="shared" si="40"/>
        <v>0</v>
      </c>
      <c r="BR8" s="5">
        <f t="shared" si="41"/>
        <v>1.9999999999999982</v>
      </c>
      <c r="BS8" s="5">
        <f t="shared" si="42"/>
        <v>2.0000000000000009</v>
      </c>
      <c r="BT8" s="5">
        <f t="shared" si="43"/>
        <v>0.49999999999999822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 t="str">
        <f t="shared" si="0"/>
        <v/>
      </c>
      <c r="B9" s="73"/>
      <c r="C9" s="105"/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75"/>
      <c r="Q9" s="75"/>
      <c r="R9" s="91">
        <f t="shared" si="19"/>
        <v>0</v>
      </c>
      <c r="S9" s="76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0</v>
      </c>
      <c r="AC9" s="92"/>
      <c r="AD9" s="78"/>
      <c r="AE9" s="93">
        <f t="shared" si="1"/>
        <v>0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105"/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0</v>
      </c>
      <c r="AC10" s="92"/>
      <c r="AD10" s="78"/>
      <c r="AE10" s="93">
        <f t="shared" si="1"/>
        <v>0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8"/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/>
      <c r="T11" s="75"/>
      <c r="U11" s="91">
        <f t="shared" si="20"/>
        <v>0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0</v>
      </c>
      <c r="AC11" s="92"/>
      <c r="AD11" s="78"/>
      <c r="AE11" s="93">
        <f t="shared" si="1"/>
        <v>0</v>
      </c>
      <c r="AF11" s="77"/>
      <c r="AG11" s="93">
        <f t="shared" si="2"/>
        <v>0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99"/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K3" sqref="K3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10211</v>
      </c>
      <c r="B2" s="81" t="s">
        <v>615</v>
      </c>
      <c r="C2" s="116" t="s">
        <v>621</v>
      </c>
      <c r="D2" s="75">
        <v>0.77083333333333337</v>
      </c>
      <c r="E2" s="75">
        <v>1.0208333333333333</v>
      </c>
      <c r="F2" s="91">
        <f>BA2-BB2</f>
        <v>5.4999999999999973</v>
      </c>
      <c r="G2" s="75">
        <v>0.77083333333333337</v>
      </c>
      <c r="H2" s="75">
        <v>1.0208333333333333</v>
      </c>
      <c r="I2" s="91">
        <f>BF2-BG2</f>
        <v>5.4999999999999973</v>
      </c>
      <c r="J2" s="75">
        <v>0.77083333333333337</v>
      </c>
      <c r="K2" s="75">
        <v>1.0208333333333333</v>
      </c>
      <c r="L2" s="91">
        <f>BK2-BL2</f>
        <v>5.4999999999999973</v>
      </c>
      <c r="M2" s="75">
        <v>0.83333333333333337</v>
      </c>
      <c r="N2" s="75">
        <v>1.0208333333333333</v>
      </c>
      <c r="O2" s="91">
        <f>BP2-BQ2</f>
        <v>4.4999999999999973</v>
      </c>
      <c r="P2" s="75"/>
      <c r="Q2" s="76"/>
      <c r="R2" s="91">
        <f>BU2-BV2</f>
        <v>0</v>
      </c>
      <c r="S2" s="75">
        <v>0.625</v>
      </c>
      <c r="T2" s="75">
        <v>1.0208333333333333</v>
      </c>
      <c r="U2" s="91">
        <f>BZ2-CA2</f>
        <v>8.4999999999999982</v>
      </c>
      <c r="V2" s="75">
        <v>0.4375</v>
      </c>
      <c r="W2" s="76">
        <v>0.6875</v>
      </c>
      <c r="X2" s="91">
        <f>CE2-CF2</f>
        <v>5.5</v>
      </c>
      <c r="Y2" s="91"/>
      <c r="Z2" s="91"/>
      <c r="AA2" s="91"/>
      <c r="AB2" s="95">
        <f>SUM(F2,I2,L2,O2,R2,U2,X2)</f>
        <v>34.999999999999986</v>
      </c>
      <c r="AC2" s="92"/>
      <c r="AD2" s="78">
        <v>2</v>
      </c>
      <c r="AE2" s="93">
        <f>SUMIF($BC$1:$CI$1,AE$1,$BC2:$CI2)+AD2</f>
        <v>12.999999999999993</v>
      </c>
      <c r="AF2" s="78">
        <v>1</v>
      </c>
      <c r="AG2" s="93">
        <f>SUMIF($BC$1:$CI$1,AG$1,$BC2:$CI2)+AF2</f>
        <v>9</v>
      </c>
      <c r="AH2" s="78"/>
      <c r="AI2" s="93">
        <f>SUMIF($BC$1:$CI$1,AI$1,$BC2:$CI2)+AH2</f>
        <v>5.9999999999999982</v>
      </c>
      <c r="AJ2" s="77"/>
      <c r="AK2" s="93">
        <f>SUMIF($BC$1:$CI$1,AK$1,$BC2:$CI2)+AJ2</f>
        <v>0</v>
      </c>
      <c r="AL2" s="78"/>
      <c r="AM2" s="93">
        <f>SUMIF($BC$1:$CI$1,AM$1,$BC2:$CI2)+AL2</f>
        <v>8.0000000000000036</v>
      </c>
      <c r="AN2" s="77"/>
      <c r="AO2" s="93">
        <f>SUMIF($BC$1:$CI$1,AO$1,$BC2:$CI2)+AN2</f>
        <v>1.9999999999999929</v>
      </c>
      <c r="AP2" s="94">
        <f>CK2</f>
        <v>6</v>
      </c>
      <c r="AQ2" s="77"/>
      <c r="AR2" s="77"/>
      <c r="AS2" s="77"/>
      <c r="AT2" s="63">
        <f>AE2+AG2+AI2+AK2+AM2+AO2+SUM(AQ2:AS2)</f>
        <v>37.999999999999993</v>
      </c>
      <c r="AU2" s="78" t="s">
        <v>1441</v>
      </c>
      <c r="AV2" s="5"/>
      <c r="AW2" s="5"/>
      <c r="AX2" s="5"/>
      <c r="AY2" s="5"/>
      <c r="AZ2" s="24">
        <f>VLOOKUP(C2,Employees!D:I,6,FALSE)</f>
        <v>10211</v>
      </c>
      <c r="BA2" s="5">
        <f>IF(ISBLANK(D2),0,(E2-D2)*24)</f>
        <v>5.9999999999999973</v>
      </c>
      <c r="BB2" s="5">
        <f>IF(BA2&gt;$AY$1,1,IF(BA2&gt;=$AX$1,0.5,0))</f>
        <v>0.5</v>
      </c>
      <c r="BC2" s="5">
        <f>BA2-BB2-BD2-BE2</f>
        <v>2.9999999999999982</v>
      </c>
      <c r="BD2" s="5">
        <f>IF(AND(E2&gt;$AV$1, D2&lt;$AW$1),(MIN(E2,$AW$1)-MAX(D2,$AV$1))*24,0)</f>
        <v>2.0000000000000009</v>
      </c>
      <c r="BE2" s="5">
        <f>IF(E2&gt;$AW$1,(E2-MAX(D2,$AW$1))*24,0)</f>
        <v>0.49999999999999822</v>
      </c>
      <c r="BF2" s="5">
        <f t="shared" ref="BF2" si="1">IF(ISBLANK(G2),0,(H2-G2)*24)</f>
        <v>5.9999999999999973</v>
      </c>
      <c r="BG2" s="5">
        <f>IF(BF2&gt;$AY$1,1,IF(BF2&gt;=$AX$1,0.5,0))</f>
        <v>0.5</v>
      </c>
      <c r="BH2" s="5">
        <f>BF2-BG2-BI2-BJ2</f>
        <v>2.9999999999999982</v>
      </c>
      <c r="BI2" s="5">
        <f>IF(AND(H2&gt;$AV$1,G2&lt;$AW$1),(MIN(H2,$AW$1)-MAX(G2,$AV$1))*24,0)</f>
        <v>2.0000000000000009</v>
      </c>
      <c r="BJ2" s="5">
        <f>IF(H2&gt;$AW$1,(H2-MAX(G2,$AW$1))*24,0)</f>
        <v>0.49999999999999822</v>
      </c>
      <c r="BK2" s="5">
        <f t="shared" ref="BK2" si="2">IF(ISBLANK(J2),0,(K2-J2)*24)</f>
        <v>5.9999999999999973</v>
      </c>
      <c r="BL2" s="5">
        <f>IF(BK2&gt;$AY$1,1,IF(BK2&gt;=$AX$1,0.5,0))</f>
        <v>0.5</v>
      </c>
      <c r="BM2" s="5">
        <f>BK2-BL2-BN2-BO2</f>
        <v>2.9999999999999982</v>
      </c>
      <c r="BN2" s="5">
        <f>IF(AND(K2&gt;$AV$1, J2&lt;$AW$1),(MIN(K2,$AW$1)-MAX(J2,$AV$1))*24,0)</f>
        <v>2.0000000000000009</v>
      </c>
      <c r="BO2" s="5">
        <f>IF(K2&gt;$AW$1,(K2-MAX(J2,$AW$1))*24,0)</f>
        <v>0.49999999999999822</v>
      </c>
      <c r="BP2" s="5">
        <f t="shared" ref="BP2" si="3">IF(ISBLANK(M2),0,(N2-M2)*24)</f>
        <v>4.4999999999999973</v>
      </c>
      <c r="BQ2" s="5">
        <f>IF(BP2&gt;$AY$1,1,IF(BP2&gt;=$AX$1,0.5,0))</f>
        <v>0</v>
      </c>
      <c r="BR2" s="5">
        <f>BP2-BQ2-BS2-BT2</f>
        <v>1.9999999999999982</v>
      </c>
      <c r="BS2" s="5">
        <f>IF(AND(N2&gt;$AV$1, M2&lt;$AW$1),(MIN(N2,$AW$1)-MAX(M2,$AV$1))*24,0)</f>
        <v>2.0000000000000009</v>
      </c>
      <c r="BT2" s="5">
        <f>IF(N2&gt;$AW$1,(N2-MAX(M2,$AW$1))*24,0)</f>
        <v>0.49999999999999822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9.4999999999999982</v>
      </c>
      <c r="CA2" s="5">
        <f>IF(BZ2&gt;$AY$1,1,IF(BZ2&gt;=$AX$1,0.5,0))</f>
        <v>1</v>
      </c>
      <c r="CB2" s="5">
        <f>BZ2-CA2-CC2-CD2</f>
        <v>5.9999999999999991</v>
      </c>
      <c r="CC2" s="5">
        <f>IF(AND(T2&gt;$AV$1, S2&lt;$AW$1),(MIN(T2,$AW$1)-MAX(S2,$AV$1))*24,0)</f>
        <v>2.0000000000000009</v>
      </c>
      <c r="CD2" s="5">
        <f>IF(T2&gt;$AW$1,(T2-MAX(S2,$AW$1))*24,0)</f>
        <v>0.49999999999999822</v>
      </c>
      <c r="CE2" s="5">
        <f t="shared" ref="CE2" si="7">IF(ISBLANK(V2),0,(W2-V2)*24)</f>
        <v>6</v>
      </c>
      <c r="CF2" s="5">
        <f>IF(CE2&gt;$AY$1,1,IF(CE2&gt;=$AX$1,0.5,0))</f>
        <v>0.5</v>
      </c>
      <c r="CG2" s="5">
        <f>CE2-CF2-CH2-CI2</f>
        <v>5.5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10412</v>
      </c>
      <c r="B3" s="81" t="s">
        <v>615</v>
      </c>
      <c r="C3" s="117" t="s">
        <v>1434</v>
      </c>
      <c r="D3" s="75">
        <v>0.89583333333333337</v>
      </c>
      <c r="E3" s="75">
        <v>1.0208333333333333</v>
      </c>
      <c r="F3" s="91">
        <f t="shared" ref="F3:F74" si="9">BA3-BB3</f>
        <v>2.9999999999999973</v>
      </c>
      <c r="G3" s="75">
        <v>0.625</v>
      </c>
      <c r="H3" s="75">
        <v>1.0208333333333333</v>
      </c>
      <c r="I3" s="91">
        <f t="shared" ref="I3:I74" si="10">BF3-BG3</f>
        <v>8.4999999999999982</v>
      </c>
      <c r="J3" s="122"/>
      <c r="K3" s="122"/>
      <c r="L3" s="91">
        <f t="shared" ref="L3:L74" si="11">BK3-BL3</f>
        <v>0</v>
      </c>
      <c r="M3" s="75">
        <v>0.89583333333333337</v>
      </c>
      <c r="N3" s="75">
        <v>1.0208333333333333</v>
      </c>
      <c r="O3" s="91">
        <f t="shared" ref="O3:O74" si="12">BP3-BQ3</f>
        <v>2.9999999999999973</v>
      </c>
      <c r="P3" s="84">
        <v>0.4375</v>
      </c>
      <c r="Q3" s="84">
        <v>1.0208333333333333</v>
      </c>
      <c r="R3" s="91">
        <f t="shared" ref="R3:R74" si="13">BU3-BV3</f>
        <v>12.999999999999998</v>
      </c>
      <c r="S3" s="75">
        <v>0.89583333333333337</v>
      </c>
      <c r="T3" s="75">
        <v>1.0208333333333333</v>
      </c>
      <c r="U3" s="91">
        <f t="shared" ref="U3:U74" si="14">BZ3-CA3</f>
        <v>2.9999999999999973</v>
      </c>
      <c r="V3" s="75">
        <v>0.89583333333333337</v>
      </c>
      <c r="W3" s="75">
        <v>1.0208333333333333</v>
      </c>
      <c r="X3" s="91">
        <f t="shared" ref="X3:X74" si="15">CE3-CF3</f>
        <v>2.9999999999999973</v>
      </c>
      <c r="Y3" s="91"/>
      <c r="Z3" s="91"/>
      <c r="AA3" s="91"/>
      <c r="AB3" s="95">
        <f t="shared" ref="AB3:AB74" si="16">SUM(F3,I3,L3,O3,R3,U3,X3)</f>
        <v>33.499999999999986</v>
      </c>
      <c r="AC3" s="92"/>
      <c r="AD3" s="78"/>
      <c r="AE3" s="93">
        <f t="shared" ref="AE3:AE74" si="17">SUMIF($BC$1:$CI$1,AE$1,$BC3:$CI3)+AD3</f>
        <v>17.499999999999993</v>
      </c>
      <c r="AF3" s="78"/>
      <c r="AG3" s="93">
        <f t="shared" ref="AG3:AG74" si="18">SUMIF($BC$1:$CI$1,AG$1,$BC3:$CI3)+AF3</f>
        <v>2.9999999999999973</v>
      </c>
      <c r="AH3" s="78"/>
      <c r="AI3" s="93">
        <f t="shared" ref="AI3:AI74" si="19">SUMIF($BC$1:$CI$1,AI$1,$BC3:$CI3)+AH3</f>
        <v>2.9999999999999973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8.0000000000000036</v>
      </c>
      <c r="AN3" s="77"/>
      <c r="AO3" s="93">
        <f t="shared" ref="AO3:AO74" si="22">SUMIF($BC$1:$CI$1,AO$1,$BC3:$CI3)+AN3</f>
        <v>1.9999999999999929</v>
      </c>
      <c r="AP3" s="94">
        <f t="shared" ref="AP3:AP74" si="23">CK3</f>
        <v>6</v>
      </c>
      <c r="AQ3" s="77">
        <v>3</v>
      </c>
      <c r="AR3" s="77"/>
      <c r="AS3" s="77"/>
      <c r="AT3" s="63">
        <f t="shared" ref="AT3:AT74" si="24">AE3+AG3+AI3+AK3+AM3+AO3+SUM(AQ3:AS3)</f>
        <v>36.499999999999986</v>
      </c>
      <c r="AU3" s="78"/>
      <c r="AV3" s="5"/>
      <c r="AW3" s="5"/>
      <c r="AX3" s="5"/>
      <c r="AY3" s="5"/>
      <c r="AZ3" s="24">
        <f>VLOOKUP(C3,Employees!D:I,6,FALSE)</f>
        <v>10412</v>
      </c>
      <c r="BA3" s="5">
        <f t="shared" ref="BA3:BA66" si="25">IF(ISBLANK(D3),0,(E3-D3)*24)</f>
        <v>2.9999999999999973</v>
      </c>
      <c r="BB3" s="5">
        <f t="shared" ref="BB3:BB66" si="26">IF(BA3&gt;$AY$1,1,IF(BA3&gt;=$AX$1,0.5,0))</f>
        <v>0</v>
      </c>
      <c r="BC3" s="5">
        <f t="shared" ref="BC3:BC66" si="27">BA3-BB3-BD3-BE3</f>
        <v>0.49999999999999822</v>
      </c>
      <c r="BD3" s="5">
        <f t="shared" ref="BD3:BD66" si="28">IF(AND(E3&gt;$AV$1, D3&lt;$AW$1),(MIN(E3,$AW$1)-MAX(D3,$AV$1))*24,0)</f>
        <v>2.0000000000000009</v>
      </c>
      <c r="BE3" s="5">
        <f t="shared" ref="BE3:BE66" si="29">IF(E3&gt;$AW$1,(E3-MAX(D3,$AW$1))*24,0)</f>
        <v>0.49999999999999822</v>
      </c>
      <c r="BF3" s="5">
        <f t="shared" ref="BF3:BF66" si="30">IF(ISBLANK(G3),0,(H3-G3)*24)</f>
        <v>9.4999999999999982</v>
      </c>
      <c r="BG3" s="5">
        <f t="shared" ref="BG3:BG66" si="31">IF(BF3&gt;$AY$1,1,IF(BF3&gt;=$AX$1,0.5,0))</f>
        <v>1</v>
      </c>
      <c r="BH3" s="5">
        <f t="shared" ref="BH3:BH66" si="32">BF3-BG3-BI3-BJ3</f>
        <v>5.9999999999999991</v>
      </c>
      <c r="BI3" s="5">
        <f t="shared" ref="BI3:BI66" si="33">IF(AND(H3&gt;$AV$1,G3&lt;$AW$1),(MIN(H3,$AW$1)-MAX(G3,$AV$1))*24,0)</f>
        <v>2.0000000000000009</v>
      </c>
      <c r="BJ3" s="5">
        <f t="shared" ref="BJ3:BJ66" si="34">IF(H3&gt;$AW$1,(H3-MAX(G3,$AW$1))*24,0)</f>
        <v>0.49999999999999822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2.9999999999999973</v>
      </c>
      <c r="BQ3" s="5">
        <f t="shared" ref="BQ3:BQ66" si="41">IF(BP3&gt;$AY$1,1,IF(BP3&gt;=$AX$1,0.5,0))</f>
        <v>0</v>
      </c>
      <c r="BR3" s="5">
        <f t="shared" ref="BR3:BR66" si="42">BP3-BQ3-BS3-BT3</f>
        <v>0.49999999999999822</v>
      </c>
      <c r="BS3" s="5">
        <f t="shared" ref="BS3:BS66" si="43">IF(AND(N3&gt;$AV$1, M3&lt;$AW$1),(MIN(N3,$AW$1)-MAX(M3,$AV$1))*24,0)</f>
        <v>2.0000000000000009</v>
      </c>
      <c r="BT3" s="5">
        <f t="shared" ref="BT3:BT66" si="44">IF(N3&gt;$AW$1,(N3-MAX(M3,$AW$1))*24,0)</f>
        <v>0.49999999999999822</v>
      </c>
      <c r="BU3" s="5">
        <f t="shared" ref="BU3:BU66" si="45">IF(ISBLANK(P3),0,(Q3-P3)*24)</f>
        <v>13.999999999999998</v>
      </c>
      <c r="BV3" s="5">
        <f t="shared" ref="BV3:BV66" si="46">IF(BU3&gt;$AY$1,1,IF(BU3&gt;=$AX$1,0.5,0))</f>
        <v>1</v>
      </c>
      <c r="BW3" s="5">
        <f t="shared" ref="BW3:BW66" si="47">BU3-BV3-BX3-BY3</f>
        <v>10.499999999999998</v>
      </c>
      <c r="BX3" s="5">
        <f t="shared" ref="BX3:BX66" si="48">IF(AND(Q3&gt;$AV$1, P3&lt;$AW$1),(MIN(Q3,$AW$1)-MAX(P3,$AV$1))*24,0)</f>
        <v>2.0000000000000009</v>
      </c>
      <c r="BY3" s="5">
        <f t="shared" ref="BY3:BY66" si="49">IF(Q3&gt;$AW$1,(Q3-MAX(P3,$AW$1))*24,0)</f>
        <v>0.49999999999999822</v>
      </c>
      <c r="BZ3" s="5">
        <f t="shared" ref="BZ3:BZ66" si="50">IF(ISBLANK(S3),0,(T3-S3)*24)</f>
        <v>2.9999999999999973</v>
      </c>
      <c r="CA3" s="5">
        <f t="shared" ref="CA3:CA66" si="51">IF(BZ3&gt;$AY$1,1,IF(BZ3&gt;=$AX$1,0.5,0))</f>
        <v>0</v>
      </c>
      <c r="CB3" s="5">
        <f t="shared" ref="CB3:CB66" si="52">BZ3-CA3-CC3-CD3</f>
        <v>0.49999999999999822</v>
      </c>
      <c r="CC3" s="5">
        <f t="shared" ref="CC3:CC66" si="53">IF(AND(T3&gt;$AV$1, S3&lt;$AW$1),(MIN(T3,$AW$1)-MAX(S3,$AV$1))*24,0)</f>
        <v>2.0000000000000009</v>
      </c>
      <c r="CD3" s="5">
        <f t="shared" ref="CD3:CD66" si="54">IF(T3&gt;$AW$1,(T3-MAX(S3,$AW$1))*24,0)</f>
        <v>0.49999999999999822</v>
      </c>
      <c r="CE3" s="5">
        <f t="shared" ref="CE3:CE66" si="55">IF(ISBLANK(V3),0,(W3-V3)*24)</f>
        <v>2.9999999999999973</v>
      </c>
      <c r="CF3" s="5">
        <f t="shared" ref="CF3:CF66" si="56">IF(CE3&gt;$AY$1,1,IF(CE3&gt;=$AX$1,0.5,0))</f>
        <v>0</v>
      </c>
      <c r="CG3" s="5">
        <f t="shared" ref="CG3:CG66" si="57">CE3-CF3-CH3-CI3</f>
        <v>0.49999999999999822</v>
      </c>
      <c r="CH3" s="5">
        <f t="shared" ref="CH3:CH66" si="58">IF(AND(W3&gt;$AV$1, V3&lt;$AW$1),(MIN(W3,$AW$1)-MAX(V3,$AV$1))*24,0)</f>
        <v>2.0000000000000009</v>
      </c>
      <c r="CI3" s="5">
        <f t="shared" ref="CI3:CI66" si="59">IF(W3&gt;$AW$1,(W3-MAX(V3,$AW$1))*24,0)</f>
        <v>0.49999999999999822</v>
      </c>
      <c r="CJ3" s="5"/>
      <c r="CK3" s="4">
        <f t="shared" si="8"/>
        <v>6</v>
      </c>
    </row>
    <row r="4" spans="1:89" ht="47" customHeight="1">
      <c r="A4" s="74">
        <f t="shared" si="0"/>
        <v>10299</v>
      </c>
      <c r="B4" s="81" t="s">
        <v>615</v>
      </c>
      <c r="C4" s="118" t="s">
        <v>1435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/>
      <c r="T4" s="75"/>
      <c r="U4" s="91">
        <f t="shared" si="14"/>
        <v>0</v>
      </c>
      <c r="V4" s="75">
        <v>0.625</v>
      </c>
      <c r="W4" s="76">
        <v>1.0208333333333333</v>
      </c>
      <c r="X4" s="91">
        <f t="shared" si="15"/>
        <v>8.4999999999999982</v>
      </c>
      <c r="Y4" s="91"/>
      <c r="Z4" s="91"/>
      <c r="AA4" s="91"/>
      <c r="AB4" s="95">
        <f t="shared" si="16"/>
        <v>8.4999999999999982</v>
      </c>
      <c r="AC4" s="92"/>
      <c r="AD4" s="78"/>
      <c r="AE4" s="93">
        <f t="shared" si="17"/>
        <v>0</v>
      </c>
      <c r="AF4" s="78"/>
      <c r="AG4" s="93">
        <f t="shared" si="18"/>
        <v>0</v>
      </c>
      <c r="AH4" s="78"/>
      <c r="AI4" s="93">
        <f t="shared" si="19"/>
        <v>8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0.49999999999999822</v>
      </c>
      <c r="AP4" s="94">
        <f t="shared" si="23"/>
        <v>1</v>
      </c>
      <c r="AQ4" s="77"/>
      <c r="AR4" s="77"/>
      <c r="AS4" s="77"/>
      <c r="AT4" s="63">
        <f t="shared" si="24"/>
        <v>8.4999999999999982</v>
      </c>
      <c r="AU4" s="78"/>
      <c r="AV4" s="5"/>
      <c r="AW4" s="5"/>
      <c r="AX4" s="5"/>
      <c r="AY4" s="5"/>
      <c r="AZ4" s="24">
        <f>VLOOKUP(C4,Employees!D:I,6,FALSE)</f>
        <v>10299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9.4999999999999982</v>
      </c>
      <c r="CF4" s="5">
        <f t="shared" si="56"/>
        <v>1</v>
      </c>
      <c r="CG4" s="5">
        <f t="shared" si="57"/>
        <v>5.9999999999999991</v>
      </c>
      <c r="CH4" s="5">
        <f t="shared" si="58"/>
        <v>2.0000000000000009</v>
      </c>
      <c r="CI4" s="5">
        <f t="shared" si="59"/>
        <v>0.49999999999999822</v>
      </c>
      <c r="CJ4" s="5"/>
      <c r="CK4" s="4">
        <f t="shared" si="8"/>
        <v>1</v>
      </c>
    </row>
    <row r="5" spans="1:89" ht="47" customHeight="1">
      <c r="A5" s="74">
        <f t="shared" si="0"/>
        <v>10495</v>
      </c>
      <c r="B5" s="81" t="s">
        <v>615</v>
      </c>
      <c r="C5" s="119" t="s">
        <v>1436</v>
      </c>
      <c r="D5" s="76">
        <v>0.625</v>
      </c>
      <c r="E5" s="75">
        <v>1.0208333333333333</v>
      </c>
      <c r="F5" s="91">
        <f t="shared" si="9"/>
        <v>8.4999999999999982</v>
      </c>
      <c r="G5" s="76"/>
      <c r="H5" s="75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5"/>
      <c r="Q5" s="75"/>
      <c r="R5" s="91">
        <f t="shared" si="13"/>
        <v>0</v>
      </c>
      <c r="S5" s="76">
        <v>0.4375</v>
      </c>
      <c r="T5" s="75">
        <v>0.75</v>
      </c>
      <c r="U5" s="91">
        <f t="shared" si="14"/>
        <v>7</v>
      </c>
      <c r="V5" s="75"/>
      <c r="W5" s="76"/>
      <c r="X5" s="91">
        <f t="shared" si="15"/>
        <v>0</v>
      </c>
      <c r="Y5" s="91"/>
      <c r="Z5" s="91"/>
      <c r="AA5" s="91"/>
      <c r="AB5" s="95">
        <f t="shared" si="16"/>
        <v>15.499999999999998</v>
      </c>
      <c r="AC5" s="92"/>
      <c r="AD5" s="78"/>
      <c r="AE5" s="93">
        <f t="shared" si="17"/>
        <v>5.9999999999999991</v>
      </c>
      <c r="AF5" s="78"/>
      <c r="AG5" s="93">
        <f t="shared" si="18"/>
        <v>7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2.0000000000000009</v>
      </c>
      <c r="AN5" s="77"/>
      <c r="AO5" s="93">
        <f t="shared" si="22"/>
        <v>0.49999999999999822</v>
      </c>
      <c r="AP5" s="94">
        <f t="shared" si="23"/>
        <v>2</v>
      </c>
      <c r="AQ5" s="77"/>
      <c r="AR5" s="77"/>
      <c r="AS5" s="77"/>
      <c r="AT5" s="63">
        <f t="shared" si="24"/>
        <v>15.499999999999998</v>
      </c>
      <c r="AU5" s="78" t="s">
        <v>1442</v>
      </c>
      <c r="AV5" s="5"/>
      <c r="AW5" s="5"/>
      <c r="AX5" s="5"/>
      <c r="AY5" s="5"/>
      <c r="AZ5" s="24">
        <f>VLOOKUP(C5,Employees!D:I,6,FALSE)</f>
        <v>10495</v>
      </c>
      <c r="BA5" s="5">
        <f t="shared" si="25"/>
        <v>9.4999999999999982</v>
      </c>
      <c r="BB5" s="5">
        <f t="shared" si="26"/>
        <v>1</v>
      </c>
      <c r="BC5" s="5">
        <f t="shared" si="27"/>
        <v>5.9999999999999991</v>
      </c>
      <c r="BD5" s="5">
        <f t="shared" si="28"/>
        <v>2.0000000000000009</v>
      </c>
      <c r="BE5" s="5">
        <f t="shared" si="29"/>
        <v>0.49999999999999822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7.5</v>
      </c>
      <c r="CA5" s="5">
        <f t="shared" si="51"/>
        <v>0.5</v>
      </c>
      <c r="CB5" s="5">
        <f t="shared" si="52"/>
        <v>7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10448</v>
      </c>
      <c r="B6" s="81" t="s">
        <v>615</v>
      </c>
      <c r="C6" s="116" t="s">
        <v>1437</v>
      </c>
      <c r="D6" s="76"/>
      <c r="E6" s="75"/>
      <c r="F6" s="91">
        <f t="shared" si="9"/>
        <v>0</v>
      </c>
      <c r="G6" s="75"/>
      <c r="H6" s="76"/>
      <c r="I6" s="91">
        <f t="shared" si="10"/>
        <v>0</v>
      </c>
      <c r="J6" s="76">
        <v>0.89583333333333337</v>
      </c>
      <c r="K6" s="75">
        <v>1.0208333333333333</v>
      </c>
      <c r="L6" s="91">
        <f t="shared" si="11"/>
        <v>2.9999999999999973</v>
      </c>
      <c r="M6" s="76"/>
      <c r="N6" s="76"/>
      <c r="O6" s="91">
        <f t="shared" si="12"/>
        <v>0</v>
      </c>
      <c r="P6" s="75"/>
      <c r="Q6" s="75"/>
      <c r="R6" s="91">
        <f t="shared" si="13"/>
        <v>0</v>
      </c>
      <c r="S6" s="75">
        <v>0.79166666666666663</v>
      </c>
      <c r="T6" s="75">
        <v>1.0208333333333333</v>
      </c>
      <c r="U6" s="91">
        <f t="shared" si="14"/>
        <v>4.9999999999999991</v>
      </c>
      <c r="V6" s="75">
        <v>0.75</v>
      </c>
      <c r="W6" s="76">
        <v>1.0208333333333333</v>
      </c>
      <c r="X6" s="91">
        <f t="shared" si="15"/>
        <v>5.9999999999999982</v>
      </c>
      <c r="Y6" s="91"/>
      <c r="Z6" s="91"/>
      <c r="AA6" s="91"/>
      <c r="AB6" s="95">
        <f t="shared" si="16"/>
        <v>13.999999999999995</v>
      </c>
      <c r="AC6" s="92"/>
      <c r="AD6" s="78"/>
      <c r="AE6" s="93">
        <f t="shared" si="17"/>
        <v>0.49999999999999822</v>
      </c>
      <c r="AF6" s="78"/>
      <c r="AG6" s="93">
        <f t="shared" si="18"/>
        <v>4.5000000000000009</v>
      </c>
      <c r="AH6" s="78"/>
      <c r="AI6" s="93">
        <f t="shared" si="19"/>
        <v>5.9999999999999982</v>
      </c>
      <c r="AJ6" s="77"/>
      <c r="AK6" s="93">
        <f t="shared" si="20"/>
        <v>0</v>
      </c>
      <c r="AL6" s="78"/>
      <c r="AM6" s="93">
        <f t="shared" si="21"/>
        <v>2.0000000000000009</v>
      </c>
      <c r="AN6" s="77"/>
      <c r="AO6" s="93">
        <f t="shared" si="22"/>
        <v>0.99999999999999645</v>
      </c>
      <c r="AP6" s="94">
        <f t="shared" si="23"/>
        <v>3</v>
      </c>
      <c r="AQ6" s="77">
        <v>3</v>
      </c>
      <c r="AR6" s="77"/>
      <c r="AS6" s="77"/>
      <c r="AT6" s="63">
        <f t="shared" si="24"/>
        <v>16.999999999999993</v>
      </c>
      <c r="AU6" s="78"/>
      <c r="AV6" s="5"/>
      <c r="AW6" s="5"/>
      <c r="AX6" s="5"/>
      <c r="AY6" s="5"/>
      <c r="AZ6" s="24">
        <f>VLOOKUP(C6,Employees!D:I,6,FALSE)</f>
        <v>10448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2.9999999999999973</v>
      </c>
      <c r="BL6" s="5">
        <f t="shared" si="36"/>
        <v>0</v>
      </c>
      <c r="BM6" s="5">
        <f t="shared" si="37"/>
        <v>0.49999999999999822</v>
      </c>
      <c r="BN6" s="5">
        <f t="shared" si="38"/>
        <v>2.0000000000000009</v>
      </c>
      <c r="BO6" s="5">
        <f t="shared" si="39"/>
        <v>0.49999999999999822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5.4999999999999991</v>
      </c>
      <c r="CA6" s="5">
        <f t="shared" si="51"/>
        <v>0.5</v>
      </c>
      <c r="CB6" s="5">
        <f t="shared" si="52"/>
        <v>2.5</v>
      </c>
      <c r="CC6" s="5">
        <f t="shared" si="53"/>
        <v>2.0000000000000009</v>
      </c>
      <c r="CD6" s="5">
        <f t="shared" si="54"/>
        <v>0.49999999999999822</v>
      </c>
      <c r="CE6" s="5">
        <f t="shared" si="55"/>
        <v>6.4999999999999982</v>
      </c>
      <c r="CF6" s="5">
        <f t="shared" si="56"/>
        <v>0.5</v>
      </c>
      <c r="CG6" s="5">
        <f t="shared" si="57"/>
        <v>3.4999999999999991</v>
      </c>
      <c r="CH6" s="5">
        <f t="shared" si="58"/>
        <v>2.0000000000000009</v>
      </c>
      <c r="CI6" s="5">
        <f t="shared" si="59"/>
        <v>0.49999999999999822</v>
      </c>
      <c r="CJ6" s="5"/>
      <c r="CK6" s="4">
        <f t="shared" si="8"/>
        <v>3</v>
      </c>
    </row>
    <row r="7" spans="1:89" ht="47" customHeight="1">
      <c r="A7" s="74">
        <f t="shared" si="0"/>
        <v>210515</v>
      </c>
      <c r="B7" s="81" t="s">
        <v>615</v>
      </c>
      <c r="C7" s="120" t="s">
        <v>1439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>
        <v>0.625</v>
      </c>
      <c r="K7" s="106">
        <v>0.89583333333333337</v>
      </c>
      <c r="L7" s="91">
        <f t="shared" si="11"/>
        <v>6.0000000000000009</v>
      </c>
      <c r="M7" s="76">
        <v>0.625</v>
      </c>
      <c r="N7" s="76">
        <v>0.85416666666666663</v>
      </c>
      <c r="O7" s="91">
        <f t="shared" si="12"/>
        <v>4.9999999999999991</v>
      </c>
      <c r="P7" s="76">
        <v>0.72916666666666663</v>
      </c>
      <c r="Q7" s="75">
        <v>1.0208333333333333</v>
      </c>
      <c r="R7" s="91">
        <f t="shared" si="13"/>
        <v>6.4999999999999991</v>
      </c>
      <c r="S7" s="76"/>
      <c r="T7" s="75"/>
      <c r="U7" s="91">
        <f t="shared" si="14"/>
        <v>0</v>
      </c>
      <c r="V7" s="75"/>
      <c r="W7" s="76"/>
      <c r="X7" s="91">
        <f t="shared" si="15"/>
        <v>0</v>
      </c>
      <c r="Y7" s="91"/>
      <c r="Z7" s="91"/>
      <c r="AA7" s="91"/>
      <c r="AB7" s="95">
        <f t="shared" si="16"/>
        <v>17.5</v>
      </c>
      <c r="AC7" s="92"/>
      <c r="AD7" s="78">
        <v>0.5</v>
      </c>
      <c r="AE7" s="93">
        <f t="shared" si="17"/>
        <v>15.5</v>
      </c>
      <c r="AF7" s="77"/>
      <c r="AG7" s="93">
        <f t="shared" si="18"/>
        <v>0.49999999999999822</v>
      </c>
      <c r="AH7" s="78"/>
      <c r="AI7" s="93">
        <f t="shared" si="19"/>
        <v>0</v>
      </c>
      <c r="AJ7" s="77"/>
      <c r="AK7" s="93">
        <f t="shared" si="20"/>
        <v>0</v>
      </c>
      <c r="AL7" s="78"/>
      <c r="AM7" s="93">
        <f t="shared" si="21"/>
        <v>2.0000000000000009</v>
      </c>
      <c r="AN7" s="77"/>
      <c r="AO7" s="93">
        <f t="shared" si="22"/>
        <v>0</v>
      </c>
      <c r="AP7" s="94">
        <f t="shared" si="23"/>
        <v>3</v>
      </c>
      <c r="AQ7" s="77"/>
      <c r="AR7" s="77"/>
      <c r="AS7" s="77"/>
      <c r="AT7" s="63">
        <f t="shared" si="24"/>
        <v>18</v>
      </c>
      <c r="AU7" s="78" t="s">
        <v>1443</v>
      </c>
      <c r="AV7" s="5"/>
      <c r="AW7" s="5"/>
      <c r="AX7" s="5"/>
      <c r="AY7" s="5"/>
      <c r="AZ7" s="24">
        <f>VLOOKUP(C7,Employees!D:I,6,FALSE)</f>
        <v>210515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6.5000000000000009</v>
      </c>
      <c r="BL7" s="5">
        <f t="shared" si="36"/>
        <v>0.5</v>
      </c>
      <c r="BM7" s="5">
        <f t="shared" si="37"/>
        <v>6.0000000000000009</v>
      </c>
      <c r="BN7" s="5">
        <f t="shared" si="38"/>
        <v>0</v>
      </c>
      <c r="BO7" s="5">
        <f t="shared" si="39"/>
        <v>0</v>
      </c>
      <c r="BP7" s="5">
        <f t="shared" si="40"/>
        <v>5.4999999999999991</v>
      </c>
      <c r="BQ7" s="5">
        <f t="shared" si="41"/>
        <v>0.5</v>
      </c>
      <c r="BR7" s="5">
        <f t="shared" si="42"/>
        <v>4.9999999999999991</v>
      </c>
      <c r="BS7" s="5">
        <f t="shared" si="43"/>
        <v>0</v>
      </c>
      <c r="BT7" s="5">
        <f t="shared" si="44"/>
        <v>0</v>
      </c>
      <c r="BU7" s="5">
        <f t="shared" si="45"/>
        <v>6.9999999999999991</v>
      </c>
      <c r="BV7" s="5">
        <f t="shared" si="46"/>
        <v>0.5</v>
      </c>
      <c r="BW7" s="5">
        <f t="shared" si="47"/>
        <v>4</v>
      </c>
      <c r="BX7" s="5">
        <f t="shared" si="48"/>
        <v>2.0000000000000009</v>
      </c>
      <c r="BY7" s="5">
        <f t="shared" si="49"/>
        <v>0.49999999999999822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210524</v>
      </c>
      <c r="B8" s="81" t="s">
        <v>615</v>
      </c>
      <c r="C8" s="120" t="s">
        <v>1445</v>
      </c>
      <c r="D8" s="76"/>
      <c r="E8" s="76"/>
      <c r="F8" s="91">
        <f t="shared" si="9"/>
        <v>0</v>
      </c>
      <c r="G8" s="76">
        <v>0.75</v>
      </c>
      <c r="H8" s="75">
        <v>1.0208333333333333</v>
      </c>
      <c r="I8" s="91">
        <f t="shared" si="10"/>
        <v>5.9999999999999982</v>
      </c>
      <c r="J8" s="76"/>
      <c r="K8" s="75"/>
      <c r="L8" s="91">
        <f t="shared" si="11"/>
        <v>0</v>
      </c>
      <c r="M8" s="76">
        <v>0.75</v>
      </c>
      <c r="N8" s="75">
        <v>1.0208333333333333</v>
      </c>
      <c r="O8" s="91">
        <f t="shared" si="12"/>
        <v>5.9999999999999982</v>
      </c>
      <c r="P8" s="76">
        <v>0.85416666666666663</v>
      </c>
      <c r="Q8" s="75">
        <v>1.0208333333333333</v>
      </c>
      <c r="R8" s="91">
        <f t="shared" si="13"/>
        <v>3.9999999999999991</v>
      </c>
      <c r="S8" s="76"/>
      <c r="T8" s="76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15.999999999999996</v>
      </c>
      <c r="AC8" s="92"/>
      <c r="AD8" s="78"/>
      <c r="AE8" s="93">
        <f t="shared" si="17"/>
        <v>8.4999999999999982</v>
      </c>
      <c r="AF8" s="77"/>
      <c r="AG8" s="93">
        <f t="shared" si="18"/>
        <v>0.49999999999999822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6.0000000000000027</v>
      </c>
      <c r="AN8" s="77"/>
      <c r="AO8" s="93">
        <f t="shared" si="22"/>
        <v>0.99999999999999645</v>
      </c>
      <c r="AP8" s="94">
        <f t="shared" si="23"/>
        <v>3</v>
      </c>
      <c r="AQ8" s="77"/>
      <c r="AR8" s="77"/>
      <c r="AS8" s="77"/>
      <c r="AT8" s="63">
        <f t="shared" si="24"/>
        <v>15.999999999999996</v>
      </c>
      <c r="AU8" s="78"/>
      <c r="AV8" s="5"/>
      <c r="AW8" s="5"/>
      <c r="AX8" s="5"/>
      <c r="AY8" s="5"/>
      <c r="AZ8" s="24">
        <f>VLOOKUP(C8,Employees!D:I,6,FALSE)</f>
        <v>210524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6.4999999999999982</v>
      </c>
      <c r="BG8" s="5">
        <f t="shared" si="31"/>
        <v>0.5</v>
      </c>
      <c r="BH8" s="5">
        <f t="shared" si="32"/>
        <v>3.4999999999999991</v>
      </c>
      <c r="BI8" s="5">
        <f t="shared" si="33"/>
        <v>2.0000000000000009</v>
      </c>
      <c r="BJ8" s="5">
        <f t="shared" si="34"/>
        <v>0.49999999999999822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6.4999999999999982</v>
      </c>
      <c r="BQ8" s="5">
        <f t="shared" si="41"/>
        <v>0.5</v>
      </c>
      <c r="BR8" s="5">
        <f t="shared" si="42"/>
        <v>3.4999999999999991</v>
      </c>
      <c r="BS8" s="5">
        <f t="shared" si="43"/>
        <v>2.0000000000000009</v>
      </c>
      <c r="BT8" s="5">
        <f t="shared" si="44"/>
        <v>0.49999999999999822</v>
      </c>
      <c r="BU8" s="5">
        <f t="shared" si="45"/>
        <v>3.9999999999999991</v>
      </c>
      <c r="BV8" s="5">
        <f t="shared" si="46"/>
        <v>0</v>
      </c>
      <c r="BW8" s="5">
        <f t="shared" si="47"/>
        <v>1.5</v>
      </c>
      <c r="BX8" s="5">
        <f t="shared" si="48"/>
        <v>2.0000000000000009</v>
      </c>
      <c r="BY8" s="5">
        <f t="shared" si="49"/>
        <v>0.49999999999999822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10308</v>
      </c>
      <c r="B9" s="81" t="s">
        <v>615</v>
      </c>
      <c r="C9" s="121" t="s">
        <v>1438</v>
      </c>
      <c r="D9" s="76">
        <v>0.4375</v>
      </c>
      <c r="E9" s="75">
        <v>0.625</v>
      </c>
      <c r="F9" s="91">
        <f t="shared" si="9"/>
        <v>4.5</v>
      </c>
      <c r="G9" s="76">
        <v>0.4375</v>
      </c>
      <c r="H9" s="75">
        <v>0.625</v>
      </c>
      <c r="I9" s="91">
        <f t="shared" si="10"/>
        <v>4.5</v>
      </c>
      <c r="J9" s="76">
        <v>0.4375</v>
      </c>
      <c r="K9" s="75">
        <v>0.625</v>
      </c>
      <c r="L9" s="91">
        <f t="shared" si="11"/>
        <v>4.5</v>
      </c>
      <c r="M9" s="76">
        <v>0.4375</v>
      </c>
      <c r="N9" s="75">
        <v>0.625</v>
      </c>
      <c r="O9" s="91">
        <f t="shared" si="12"/>
        <v>4.5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18</v>
      </c>
      <c r="AC9" s="92"/>
      <c r="AD9" s="78"/>
      <c r="AE9" s="93">
        <f t="shared" si="17"/>
        <v>18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4</v>
      </c>
      <c r="AQ9" s="77"/>
      <c r="AR9" s="77"/>
      <c r="AS9" s="77"/>
      <c r="AT9" s="63">
        <f t="shared" si="24"/>
        <v>18</v>
      </c>
      <c r="AU9" s="78"/>
      <c r="AV9" s="5"/>
      <c r="AW9" s="5"/>
      <c r="AX9" s="5"/>
      <c r="AY9" s="5"/>
      <c r="AZ9" s="24">
        <f>VLOOKUP(C9,Employees!D:I,6,FALSE)</f>
        <v>10308</v>
      </c>
      <c r="BA9" s="5">
        <f t="shared" si="25"/>
        <v>4.5</v>
      </c>
      <c r="BB9" s="5">
        <f t="shared" si="26"/>
        <v>0</v>
      </c>
      <c r="BC9" s="5">
        <f t="shared" si="27"/>
        <v>4.5</v>
      </c>
      <c r="BD9" s="5">
        <f t="shared" si="28"/>
        <v>0</v>
      </c>
      <c r="BE9" s="5">
        <f t="shared" si="29"/>
        <v>0</v>
      </c>
      <c r="BF9" s="5">
        <f t="shared" si="30"/>
        <v>4.5</v>
      </c>
      <c r="BG9" s="5">
        <f t="shared" si="31"/>
        <v>0</v>
      </c>
      <c r="BH9" s="5">
        <f t="shared" si="32"/>
        <v>4.5</v>
      </c>
      <c r="BI9" s="5">
        <f t="shared" si="33"/>
        <v>0</v>
      </c>
      <c r="BJ9" s="5">
        <f t="shared" si="34"/>
        <v>0</v>
      </c>
      <c r="BK9" s="5">
        <f t="shared" si="35"/>
        <v>4.5</v>
      </c>
      <c r="BL9" s="5">
        <f t="shared" si="36"/>
        <v>0</v>
      </c>
      <c r="BM9" s="5">
        <f t="shared" si="37"/>
        <v>4.5</v>
      </c>
      <c r="BN9" s="5">
        <f t="shared" si="38"/>
        <v>0</v>
      </c>
      <c r="BO9" s="5">
        <f t="shared" si="39"/>
        <v>0</v>
      </c>
      <c r="BP9" s="5">
        <f t="shared" si="40"/>
        <v>4.5</v>
      </c>
      <c r="BQ9" s="5">
        <f t="shared" si="41"/>
        <v>0</v>
      </c>
      <c r="BR9" s="5">
        <f t="shared" si="42"/>
        <v>4.5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4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6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G1" zoomScale="120" zoomScaleNormal="120" workbookViewId="0">
      <selection activeCell="M5" sqref="M5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10211</v>
      </c>
      <c r="B2" s="28">
        <f ca="1">IF(A2=0,"",_xlfn.NUMBERVALUE(A2))</f>
        <v>10211</v>
      </c>
      <c r="C2" s="28" t="str">
        <f ca="1">IF($A2=0,"",VLOOKUP($B2,Employees!$A:$G,2,FALSE))</f>
        <v>YAO-KUN</v>
      </c>
      <c r="D2" s="28" t="str">
        <f ca="1">IF($A2=0,"",VLOOKUP($B2,Employees!$A:$G,3,FALSE))</f>
        <v>HUANG</v>
      </c>
      <c r="E2" s="26">
        <f ca="1">IF($A2=0,"",VLOOKUP($B2,Employees!$A:$G,5,FALSE))</f>
        <v>33574</v>
      </c>
      <c r="F2" s="13">
        <f ca="1">IF($E2="","",ROUNDDOWN(YEARFRAC($E2, 'Week 1 Roster'!$D$1-1, 1), 0))</f>
        <v>33</v>
      </c>
      <c r="G2" s="13">
        <f ca="1">IF($E2="","",ROUNDDOWN(YEARFRAC($E2, 'Week 1 Roster'!$D$1+14, 1), 0))</f>
        <v>33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Hotstar Waterloo</v>
      </c>
      <c r="L2" s="13" t="str">
        <f ca="1">IF($A2=0,"",VLOOKUP(K2,Stores!A:B,2,0))</f>
        <v>Winlada</v>
      </c>
      <c r="M2" s="14">
        <f t="shared" ref="M2" ca="1" si="0">Y2+AK2</f>
        <v>21.499999999999986</v>
      </c>
      <c r="N2" s="14">
        <f t="shared" ref="N2" ca="1" si="1">Z2+AL2</f>
        <v>14</v>
      </c>
      <c r="O2" s="14">
        <f t="shared" ref="O2" ca="1" si="2">AA2+AM2</f>
        <v>10.499999999999998</v>
      </c>
      <c r="P2" s="14">
        <f t="shared" ref="P2" ca="1" si="3">AB2+AN2</f>
        <v>0</v>
      </c>
      <c r="Q2" s="14">
        <f t="shared" ref="Q2" ca="1" si="4">AC2+AO2</f>
        <v>16.000000000000007</v>
      </c>
      <c r="R2" s="14">
        <f t="shared" ref="R2:S2" ca="1" si="5">AD2+AP2</f>
        <v>3.4999999999999876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65.499999999999986</v>
      </c>
      <c r="Y2" s="17">
        <f ca="1">IF($A2=0,0,SUMIF('Week 1 Roster'!$AZ:$AZ,$B2,'Week 1 Roster'!$AE:$AE))</f>
        <v>8.4999999999999947</v>
      </c>
      <c r="Z2" s="17">
        <f ca="1">IF($A2=0,0,SUMIF('Week 1 Roster'!$AZ:$AZ,$B2,'Week 1 Roster'!$AG:$AG))</f>
        <v>5</v>
      </c>
      <c r="AA2" s="17">
        <f ca="1">IF($A2=0,0,SUMIF('Week 1 Roster'!$AZ:$AZ,$B2,'Week 1 Roster'!$AI:$AI))</f>
        <v>4.5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8.0000000000000036</v>
      </c>
      <c r="AD2" s="17">
        <f ca="1">IF($A2=0,0,SUMIF('Week 1 Roster'!$AZ:$AZ,$B2,'Week 1 Roster'!$AO:$AO))</f>
        <v>1.4999999999999947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27.499999999999993</v>
      </c>
      <c r="AK2" s="17">
        <f ca="1">IF($A2=0,0,SUMIF('Week 2 Roster'!$AZ:$AZ,$B2,'Week 2 Roster'!$AE:$AE))</f>
        <v>12.999999999999993</v>
      </c>
      <c r="AL2" s="17">
        <f ca="1">IF($A2=0,0,SUMIF('Week 2 Roster'!$AZ:$AZ,$B2,'Week 2 Roster'!$AG:$AG))</f>
        <v>9</v>
      </c>
      <c r="AM2" s="17">
        <f ca="1">IF($A2=0,0,SUMIF('Week 2 Roster'!$AZ:$AZ,$B2,'Week 2 Roster'!$AI:$AI))</f>
        <v>5.9999999999999982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8.0000000000000036</v>
      </c>
      <c r="AP2" s="17">
        <f ca="1">IF($A2=0,0,SUMIF('Week 2 Roster'!$AZ:$AZ,$B2,'Week 2 Roster'!$AO:$AO))</f>
        <v>1.9999999999999929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37.999999999999993</v>
      </c>
      <c r="AV2" s="17"/>
      <c r="AW2" s="25">
        <f>'Week 1 Roster'!A2</f>
        <v>10211</v>
      </c>
      <c r="AX2" s="25">
        <f>'Week 2 Roster'!A2</f>
        <v>10211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10412</v>
      </c>
      <c r="B3" s="28">
        <f t="shared" ref="B3:B66" ca="1" si="9">IF(A3=0,"",_xlfn.NUMBERVALUE(A3))</f>
        <v>10412</v>
      </c>
      <c r="C3" s="28" t="str">
        <f ca="1">IF($A3=0,"",VLOOKUP($B3,Employees!$A:$G,2,FALSE))</f>
        <v>Xianze</v>
      </c>
      <c r="D3" s="28" t="str">
        <f ca="1">IF($A3=0,"",VLOOKUP($B3,Employees!$A:$G,3,FALSE))</f>
        <v>Yao</v>
      </c>
      <c r="E3" s="26">
        <f ca="1">IF($A3=0,"",VLOOKUP($B3,Employees!$A:$G,5,FALSE))</f>
        <v>37369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Hotstar Waterloo</v>
      </c>
      <c r="L3" s="13" t="str">
        <f ca="1">IF($A3=0,"",VLOOKUP(K3,Stores!A:B,2,0))</f>
        <v>Winlada</v>
      </c>
      <c r="M3" s="14">
        <f t="shared" ref="M3:M66" ca="1" si="11">Y3+AK3</f>
        <v>35.499999999999986</v>
      </c>
      <c r="N3" s="14">
        <f t="shared" ref="N3:N66" ca="1" si="12">Z3+AL3</f>
        <v>5.9999999999999947</v>
      </c>
      <c r="O3" s="14">
        <f t="shared" ref="O3:O66" ca="1" si="13">AA3+AM3</f>
        <v>5.9999999999999947</v>
      </c>
      <c r="P3" s="14">
        <f t="shared" ref="P3:P66" ca="1" si="14">AB3+AN3</f>
        <v>0</v>
      </c>
      <c r="Q3" s="14">
        <f t="shared" ref="Q3:Q66" ca="1" si="15">AC3+AO3</f>
        <v>18.000000000000007</v>
      </c>
      <c r="R3" s="14">
        <f t="shared" ref="R3:R66" ca="1" si="16">AD3+AP3</f>
        <v>4.499999999999984</v>
      </c>
      <c r="S3" s="28">
        <f t="shared" ref="S3:S66" ca="1" si="17">AE3+AQ3</f>
        <v>13</v>
      </c>
      <c r="T3" s="14">
        <f t="shared" ref="T3:T66" ca="1" si="18">AF3+AR3</f>
        <v>3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72.999999999999957</v>
      </c>
      <c r="Y3" s="17">
        <f ca="1">IF($A3=0,0,SUMIF('Week 1 Roster'!$AZ:$AZ,$B3,'Week 1 Roster'!$AE:$AE))</f>
        <v>17.999999999999993</v>
      </c>
      <c r="Z3" s="17">
        <f ca="1">IF($A3=0,0,SUMIF('Week 1 Roster'!$AZ:$AZ,$B3,'Week 1 Roster'!$AG:$AG))</f>
        <v>2.9999999999999973</v>
      </c>
      <c r="AA3" s="17">
        <f ca="1">IF($A3=0,0,SUMIF('Week 1 Roster'!$AZ:$AZ,$B3,'Week 1 Roster'!$AI:$AI))</f>
        <v>2.9999999999999973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10.000000000000004</v>
      </c>
      <c r="AD3" s="17">
        <f ca="1">IF($A3=0,0,SUMIF('Week 1 Roster'!$AZ:$AZ,$B3,'Week 1 Roster'!$AO:$AO))</f>
        <v>2.4999999999999911</v>
      </c>
      <c r="AE3" s="38">
        <f ca="1">IF($A3=0,0,SUMIF('Week 1 Roster'!$AZ:$AZ,$B3,'Week 1 Roster'!$AP:$AP))</f>
        <v>7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36.499999999999979</v>
      </c>
      <c r="AK3" s="17">
        <f ca="1">IF($A3=0,0,SUMIF('Week 2 Roster'!$AZ:$AZ,$B3,'Week 2 Roster'!$AE:$AE))</f>
        <v>17.499999999999993</v>
      </c>
      <c r="AL3" s="17">
        <f ca="1">IF($A3=0,0,SUMIF('Week 2 Roster'!$AZ:$AZ,$B3,'Week 2 Roster'!$AG:$AG))</f>
        <v>2.9999999999999973</v>
      </c>
      <c r="AM3" s="17">
        <f ca="1">IF($A3=0,0,SUMIF('Week 2 Roster'!$AZ:$AZ,$B3,'Week 2 Roster'!$AI:$AI))</f>
        <v>2.9999999999999973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8.0000000000000036</v>
      </c>
      <c r="AP3" s="17">
        <f ca="1">IF($A3=0,0,SUMIF('Week 2 Roster'!$AZ:$AZ,$B3,'Week 2 Roster'!$AO:$AO))</f>
        <v>1.9999999999999929</v>
      </c>
      <c r="AQ3" s="38">
        <f ca="1">IF($A3=0,0,SUMIF('Week 2 Roster'!$AZ:$AZ,$B3,'Week 2 Roster'!$AP:$AP))</f>
        <v>6</v>
      </c>
      <c r="AR3" s="17">
        <f ca="1">IF($A3=0,0,SUMIF('Week 2 Roster'!$AZ:$AZ,$B3,'Week 2 Roster'!$AQ:$AQ))</f>
        <v>3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36.499999999999986</v>
      </c>
      <c r="AV3" s="17"/>
      <c r="AW3" s="25">
        <f>'Week 1 Roster'!A3</f>
        <v>10412</v>
      </c>
      <c r="AX3" s="25">
        <f>'Week 2 Roster'!A3</f>
        <v>10412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10299</v>
      </c>
      <c r="B4" s="28">
        <f t="shared" ca="1" si="9"/>
        <v>10299</v>
      </c>
      <c r="C4" s="28" t="str">
        <f ca="1">IF($A4=0,"",VLOOKUP($B4,Employees!$A:$G,2,FALSE))</f>
        <v>YUTANG</v>
      </c>
      <c r="D4" s="28" t="str">
        <f ca="1">IF($A4=0,"",VLOOKUP($B4,Employees!$A:$G,3,FALSE))</f>
        <v>HUANG</v>
      </c>
      <c r="E4" s="26">
        <f ca="1">IF($A4=0,"",VLOOKUP($B4,Employees!$A:$G,5,FALSE))</f>
        <v>33976</v>
      </c>
      <c r="F4" s="13">
        <f ca="1">IF($E4="","",ROUNDDOWN(YEARFRAC($E4, 'Week 1 Roster'!$D$1-1, 1), 0))</f>
        <v>32</v>
      </c>
      <c r="G4" s="13">
        <f ca="1">IF($E4="","",ROUNDDOWN(YEARFRAC($E4, 'Week 1 Roster'!$D$1+14, 1), 0))</f>
        <v>32</v>
      </c>
      <c r="H4" s="13" t="b">
        <f t="shared" ca="1" si="10"/>
        <v>0</v>
      </c>
      <c r="I4" s="13">
        <f ca="1">IF($A4=0,"",VLOOKUP($B4,Employees!$A:$G,6,FALSE))</f>
        <v>200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Hotstar Waterloo</v>
      </c>
      <c r="L4" s="13" t="str">
        <f ca="1">IF($A4=0,"",VLOOKUP(K4,Stores!A:B,2,0))</f>
        <v>Winlada</v>
      </c>
      <c r="M4" s="14">
        <f t="shared" ca="1" si="11"/>
        <v>3</v>
      </c>
      <c r="N4" s="14">
        <f t="shared" ca="1" si="12"/>
        <v>0</v>
      </c>
      <c r="O4" s="14">
        <f t="shared" ca="1" si="13"/>
        <v>13</v>
      </c>
      <c r="P4" s="14">
        <f t="shared" ca="1" si="14"/>
        <v>0</v>
      </c>
      <c r="Q4" s="14">
        <f t="shared" ca="1" si="15"/>
        <v>2</v>
      </c>
      <c r="R4" s="14">
        <f t="shared" ca="1" si="16"/>
        <v>0.99999999999999822</v>
      </c>
      <c r="S4" s="28">
        <f t="shared" ca="1" si="17"/>
        <v>3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19</v>
      </c>
      <c r="Y4" s="17">
        <f ca="1">IF($A4=0,0,SUMIF('Week 1 Roster'!$AZ:$AZ,$B4,'Week 1 Roster'!$AE:$AE))</f>
        <v>3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5.0000000000000009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2</v>
      </c>
      <c r="AD4" s="17">
        <f ca="1">IF($A4=0,0,SUMIF('Week 1 Roster'!$AZ:$AZ,$B4,'Week 1 Roster'!$AO:$AO))</f>
        <v>0.5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10.5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8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0.49999999999999822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8.4999999999999982</v>
      </c>
      <c r="AV4" s="17"/>
      <c r="AW4" s="25">
        <f>'Week 1 Roster'!A4</f>
        <v>10299</v>
      </c>
      <c r="AX4" s="25">
        <f>'Week 2 Roster'!A4</f>
        <v>10299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10495</v>
      </c>
      <c r="B5" s="28">
        <f t="shared" ca="1" si="9"/>
        <v>10495</v>
      </c>
      <c r="C5" s="28" t="str">
        <f ca="1">IF($A5=0,"",VLOOKUP($B5,Employees!$A:$G,2,FALSE))</f>
        <v>Yuda</v>
      </c>
      <c r="D5" s="28" t="str">
        <f ca="1">IF($A5=0,"",VLOOKUP($B5,Employees!$A:$G,3,FALSE))</f>
        <v>Chen</v>
      </c>
      <c r="E5" s="26">
        <f ca="1">IF($A5=0,"",VLOOKUP($B5,Employees!$A:$G,5,FALSE))</f>
        <v>36753</v>
      </c>
      <c r="F5" s="13">
        <f ca="1">IF($E5="","",ROUNDDOWN(YEARFRAC($E5, 'Week 1 Roster'!$D$1-1, 1), 0))</f>
        <v>25</v>
      </c>
      <c r="G5" s="13">
        <f ca="1">IF($E5="","",ROUNDDOWN(YEARFRAC($E5, 'Week 1 Roster'!$D$1+14, 1), 0))</f>
        <v>25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Hotstar Waterloo</v>
      </c>
      <c r="L5" s="13" t="str">
        <f ca="1">IF($A5=0,"",VLOOKUP(K5,Stores!A:B,2,0))</f>
        <v>Winlada</v>
      </c>
      <c r="M5" s="14">
        <f t="shared" ca="1" si="11"/>
        <v>49.5</v>
      </c>
      <c r="N5" s="14">
        <f t="shared" ca="1" si="12"/>
        <v>18</v>
      </c>
      <c r="O5" s="14">
        <f t="shared" ca="1" si="13"/>
        <v>4.4999999999999973</v>
      </c>
      <c r="P5" s="14">
        <f t="shared" ca="1" si="14"/>
        <v>0</v>
      </c>
      <c r="Q5" s="14">
        <f t="shared" ca="1" si="15"/>
        <v>4.0000000000000018</v>
      </c>
      <c r="R5" s="14">
        <f t="shared" ca="1" si="16"/>
        <v>1.4999999999999947</v>
      </c>
      <c r="S5" s="28">
        <f t="shared" ca="1" si="17"/>
        <v>8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77.5</v>
      </c>
      <c r="Y5" s="17">
        <f ca="1">IF($A5=0,0,SUMIF('Week 1 Roster'!$AZ:$AZ,$B5,'Week 1 Roster'!$AE:$AE))</f>
        <v>43.5</v>
      </c>
      <c r="Z5" s="17">
        <f ca="1">IF($A5=0,0,SUMIF('Week 1 Roster'!$AZ:$AZ,$B5,'Week 1 Roster'!$AG:$AG))</f>
        <v>11</v>
      </c>
      <c r="AA5" s="17">
        <f ca="1">IF($A5=0,0,SUMIF('Week 1 Roster'!$AZ:$AZ,$B5,'Week 1 Roster'!$AI:$AI))</f>
        <v>4.4999999999999973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2.0000000000000009</v>
      </c>
      <c r="AD5" s="17">
        <f ca="1">IF($A5=0,0,SUMIF('Week 1 Roster'!$AZ:$AZ,$B5,'Week 1 Roster'!$AO:$AO))</f>
        <v>0.99999999999999645</v>
      </c>
      <c r="AE5" s="38">
        <f ca="1">IF($A5=0,0,SUMIF('Week 1 Roster'!$AZ:$AZ,$B5,'Week 1 Roster'!$AP:$AP))</f>
        <v>6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62</v>
      </c>
      <c r="AK5" s="17">
        <f ca="1">IF($A5=0,0,SUMIF('Week 2 Roster'!$AZ:$AZ,$B5,'Week 2 Roster'!$AE:$AE))</f>
        <v>5.9999999999999991</v>
      </c>
      <c r="AL5" s="17">
        <f ca="1">IF($A5=0,0,SUMIF('Week 2 Roster'!$AZ:$AZ,$B5,'Week 2 Roster'!$AG:$AG))</f>
        <v>7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2.0000000000000009</v>
      </c>
      <c r="AP5" s="17">
        <f ca="1">IF($A5=0,0,SUMIF('Week 2 Roster'!$AZ:$AZ,$B5,'Week 2 Roster'!$AO:$AO))</f>
        <v>0.49999999999999822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15.499999999999998</v>
      </c>
      <c r="AV5" s="17"/>
      <c r="AW5" s="25">
        <f>'Week 1 Roster'!A5</f>
        <v>10495</v>
      </c>
      <c r="AX5" s="25">
        <f>'Week 2 Roster'!A5</f>
        <v>10495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10448</v>
      </c>
      <c r="B6" s="28">
        <f t="shared" ca="1" si="9"/>
        <v>10448</v>
      </c>
      <c r="C6" s="28" t="str">
        <f ca="1">IF($A6=0,"",VLOOKUP($B6,Employees!$A:$G,2,FALSE))</f>
        <v>YUKANG</v>
      </c>
      <c r="D6" s="28" t="str">
        <f ca="1">IF($A6=0,"",VLOOKUP($B6,Employees!$A:$G,3,FALSE))</f>
        <v>GUI</v>
      </c>
      <c r="E6" s="26">
        <f ca="1">IF($A6=0,"",VLOOKUP($B6,Employees!$A:$G,5,FALSE))</f>
        <v>36710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Hotstar Waterloo</v>
      </c>
      <c r="L6" s="13" t="str">
        <f ca="1">IF($A6=0,"",VLOOKUP(K6,Stores!A:B,2,0))</f>
        <v>Winlada</v>
      </c>
      <c r="M6" s="14">
        <f t="shared" ca="1" si="11"/>
        <v>22</v>
      </c>
      <c r="N6" s="14">
        <f t="shared" ca="1" si="12"/>
        <v>9.5</v>
      </c>
      <c r="O6" s="14">
        <f t="shared" ca="1" si="13"/>
        <v>14.499999999999996</v>
      </c>
      <c r="P6" s="14">
        <f t="shared" ca="1" si="14"/>
        <v>0</v>
      </c>
      <c r="Q6" s="14">
        <f t="shared" ca="1" si="15"/>
        <v>6.0000000000000027</v>
      </c>
      <c r="R6" s="14">
        <f t="shared" ca="1" si="16"/>
        <v>1.9999999999999929</v>
      </c>
      <c r="S6" s="28">
        <f t="shared" ca="1" si="17"/>
        <v>8</v>
      </c>
      <c r="T6" s="14">
        <f t="shared" ca="1" si="18"/>
        <v>3</v>
      </c>
      <c r="U6" s="14">
        <f t="shared" ca="1" si="19"/>
        <v>0</v>
      </c>
      <c r="V6" s="14">
        <f t="shared" ca="1" si="20"/>
        <v>0</v>
      </c>
      <c r="W6" s="14">
        <f t="shared" ca="1" si="21"/>
        <v>56.999999999999993</v>
      </c>
      <c r="Y6" s="17">
        <f ca="1">IF($A6=0,0,SUMIF('Week 1 Roster'!$AZ:$AZ,$B6,'Week 1 Roster'!$AE:$AE))</f>
        <v>21.5</v>
      </c>
      <c r="Z6" s="17">
        <f ca="1">IF($A6=0,0,SUMIF('Week 1 Roster'!$AZ:$AZ,$B6,'Week 1 Roster'!$AG:$AG))</f>
        <v>4.9999999999999991</v>
      </c>
      <c r="AA6" s="17">
        <f ca="1">IF($A6=0,0,SUMIF('Week 1 Roster'!$AZ:$AZ,$B6,'Week 1 Roster'!$AI:$AI))</f>
        <v>8.4999999999999982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4.0000000000000018</v>
      </c>
      <c r="AD6" s="17">
        <f ca="1">IF($A6=0,0,SUMIF('Week 1 Roster'!$AZ:$AZ,$B6,'Week 1 Roster'!$AO:$AO))</f>
        <v>0.99999999999999645</v>
      </c>
      <c r="AE6" s="38">
        <f ca="1">IF($A6=0,0,SUMIF('Week 1 Roster'!$AZ:$AZ,$B6,'Week 1 Roster'!$AP:$AP))</f>
        <v>5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40</v>
      </c>
      <c r="AK6" s="17">
        <f ca="1">IF($A6=0,0,SUMIF('Week 2 Roster'!$AZ:$AZ,$B6,'Week 2 Roster'!$AE:$AE))</f>
        <v>0.49999999999999822</v>
      </c>
      <c r="AL6" s="17">
        <f ca="1">IF($A6=0,0,SUMIF('Week 2 Roster'!$AZ:$AZ,$B6,'Week 2 Roster'!$AG:$AG))</f>
        <v>4.5000000000000009</v>
      </c>
      <c r="AM6" s="17">
        <f ca="1">IF($A6=0,0,SUMIF('Week 2 Roster'!$AZ:$AZ,$B6,'Week 2 Roster'!$AI:$AI))</f>
        <v>5.9999999999999982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2.0000000000000009</v>
      </c>
      <c r="AP6" s="17">
        <f ca="1">IF($A6=0,0,SUMIF('Week 2 Roster'!$AZ:$AZ,$B6,'Week 2 Roster'!$AO:$AO))</f>
        <v>0.99999999999999645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3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16.999999999999993</v>
      </c>
      <c r="AV6" s="17"/>
      <c r="AW6" s="25">
        <f>'Week 1 Roster'!A6</f>
        <v>10448</v>
      </c>
      <c r="AX6" s="25">
        <f>'Week 2 Roster'!A6</f>
        <v>10448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210515</v>
      </c>
      <c r="B7" s="28">
        <f t="shared" ca="1" si="9"/>
        <v>210515</v>
      </c>
      <c r="C7" s="28" t="str">
        <f ca="1">IF($A7=0,"",VLOOKUP($B7,Employees!$A:$G,2,FALSE))</f>
        <v>Cheuk Yin Justin</v>
      </c>
      <c r="D7" s="28" t="str">
        <f ca="1">IF($A7=0,"",VLOOKUP($B7,Employees!$A:$G,3,FALSE))</f>
        <v>Yau</v>
      </c>
      <c r="E7" s="26">
        <f ca="1">IF($A7=0,"",VLOOKUP($B7,Employees!$A:$G,5,FALSE))</f>
        <v>38607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Hotstar Waterloo</v>
      </c>
      <c r="L7" s="13" t="str">
        <f ca="1">IF($A7=0,"",VLOOKUP(K7,Stores!A:B,2,0))</f>
        <v>Winlada</v>
      </c>
      <c r="M7" s="14">
        <f t="shared" ca="1" si="11"/>
        <v>30</v>
      </c>
      <c r="N7" s="14">
        <f t="shared" ca="1" si="12"/>
        <v>2.4999999999999982</v>
      </c>
      <c r="O7" s="14">
        <f t="shared" ca="1" si="13"/>
        <v>0</v>
      </c>
      <c r="P7" s="14">
        <f t="shared" ca="1" si="14"/>
        <v>0</v>
      </c>
      <c r="Q7" s="14">
        <f t="shared" ca="1" si="15"/>
        <v>4.0000000000000018</v>
      </c>
      <c r="R7" s="14">
        <f t="shared" ca="1" si="16"/>
        <v>0.49999999999999822</v>
      </c>
      <c r="S7" s="28">
        <f t="shared" ca="1" si="17"/>
        <v>6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37</v>
      </c>
      <c r="Y7" s="17">
        <f ca="1">IF($A7=0,0,SUMIF('Week 1 Roster'!$AZ:$AZ,$B7,'Week 1 Roster'!$AE:$AE))</f>
        <v>14.5</v>
      </c>
      <c r="Z7" s="17">
        <f ca="1">IF($A7=0,0,SUMIF('Week 1 Roster'!$AZ:$AZ,$B7,'Week 1 Roster'!$AG:$AG))</f>
        <v>2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2.0000000000000009</v>
      </c>
      <c r="AD7" s="17">
        <f ca="1">IF($A7=0,0,SUMIF('Week 1 Roster'!$AZ:$AZ,$B7,'Week 1 Roster'!$AO:$AO))</f>
        <v>0.49999999999999822</v>
      </c>
      <c r="AE7" s="38">
        <f ca="1">IF($A7=0,0,SUMIF('Week 1 Roster'!$AZ:$AZ,$B7,'Week 1 Roster'!$AP:$AP))</f>
        <v>3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19</v>
      </c>
      <c r="AK7" s="17">
        <f ca="1">IF($A7=0,0,SUMIF('Week 2 Roster'!$AZ:$AZ,$B7,'Week 2 Roster'!$AE:$AE))</f>
        <v>15.5</v>
      </c>
      <c r="AL7" s="17">
        <f ca="1">IF($A7=0,0,SUMIF('Week 2 Roster'!$AZ:$AZ,$B7,'Week 2 Roster'!$AG:$AG))</f>
        <v>0.49999999999999822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2.0000000000000009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18</v>
      </c>
      <c r="AV7" s="17"/>
      <c r="AW7" s="25">
        <f>'Week 1 Roster'!A7</f>
        <v>210515</v>
      </c>
      <c r="AX7" s="25">
        <f>'Week 2 Roster'!A7</f>
        <v>210515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210524</v>
      </c>
      <c r="B8" s="28">
        <f t="shared" ca="1" si="9"/>
        <v>210524</v>
      </c>
      <c r="C8" s="28" t="str">
        <f ca="1">IF($A8=0,"",VLOOKUP($B8,Employees!$A:$G,2,FALSE))</f>
        <v>Ka</v>
      </c>
      <c r="D8" s="28" t="str">
        <f ca="1">IF($A8=0,"",VLOOKUP($B8,Employees!$A:$G,3,FALSE))</f>
        <v>Wong</v>
      </c>
      <c r="E8" s="26">
        <f ca="1">IF($A8=0,"",VLOOKUP($B8,Employees!$A:$G,5,FALSE))</f>
        <v>38049</v>
      </c>
      <c r="F8" s="13">
        <f ca="1">IF($E8="","",ROUNDDOWN(YEARFRAC($E8, 'Week 1 Roster'!$D$1-1, 1), 0))</f>
        <v>21</v>
      </c>
      <c r="G8" s="13">
        <f ca="1">IF($E8="","",ROUNDDOWN(YEARFRAC($E8, 'Week 1 Roster'!$D$1+14, 1), 0))</f>
        <v>21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Hotstar Waterloo</v>
      </c>
      <c r="L8" s="13" t="str">
        <f ca="1">IF($A8=0,"",VLOOKUP(K8,Stores!A:B,2,0))</f>
        <v>Winlada</v>
      </c>
      <c r="M8" s="14">
        <f t="shared" ca="1" si="11"/>
        <v>16.999999999999996</v>
      </c>
      <c r="N8" s="14">
        <f t="shared" ca="1" si="12"/>
        <v>0.49999999999999822</v>
      </c>
      <c r="O8" s="14">
        <f t="shared" ca="1" si="13"/>
        <v>0</v>
      </c>
      <c r="P8" s="14">
        <f t="shared" ca="1" si="14"/>
        <v>0</v>
      </c>
      <c r="Q8" s="14">
        <f t="shared" ca="1" si="15"/>
        <v>8.0000000000000036</v>
      </c>
      <c r="R8" s="14">
        <f t="shared" ca="1" si="16"/>
        <v>1.4999999999999947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26.999999999999993</v>
      </c>
      <c r="Y8" s="17">
        <f ca="1">IF($A8=0,0,SUMIF('Week 1 Roster'!$AZ:$AZ,$B8,'Week 1 Roster'!$AE:$AE))</f>
        <v>8.4999999999999982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2.0000000000000009</v>
      </c>
      <c r="AD8" s="17">
        <f ca="1">IF($A8=0,0,SUMIF('Week 1 Roster'!$AZ:$AZ,$B8,'Week 1 Roster'!$AO:$AO))</f>
        <v>0.49999999999999822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10.999999999999998</v>
      </c>
      <c r="AK8" s="17">
        <f ca="1">IF($A8=0,0,SUMIF('Week 2 Roster'!$AZ:$AZ,$B8,'Week 2 Roster'!$AE:$AE))</f>
        <v>8.4999999999999982</v>
      </c>
      <c r="AL8" s="17">
        <f ca="1">IF($A8=0,0,SUMIF('Week 2 Roster'!$AZ:$AZ,$B8,'Week 2 Roster'!$AG:$AG))</f>
        <v>0.49999999999999822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6.0000000000000027</v>
      </c>
      <c r="AP8" s="17">
        <f ca="1">IF($A8=0,0,SUMIF('Week 2 Roster'!$AZ:$AZ,$B8,'Week 2 Roster'!$AO:$AO))</f>
        <v>0.99999999999999645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15.999999999999996</v>
      </c>
      <c r="AV8" s="17"/>
      <c r="AW8" s="25">
        <f>'Week 1 Roster'!A8</f>
        <v>210524</v>
      </c>
      <c r="AX8" s="25">
        <f>'Week 2 Roster'!A8</f>
        <v>210524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10308</v>
      </c>
      <c r="B9" s="28">
        <f t="shared" ca="1" si="9"/>
        <v>10308</v>
      </c>
      <c r="C9" s="28" t="str">
        <f ca="1">IF($A9=0,"",VLOOKUP($B9,Employees!$A:$G,2,FALSE))</f>
        <v>Huang-Kai</v>
      </c>
      <c r="D9" s="28" t="str">
        <f ca="1">IF($A9=0,"",VLOOKUP($B9,Employees!$A:$G,3,FALSE))</f>
        <v>Tseng</v>
      </c>
      <c r="E9" s="26">
        <f ca="1">IF($A9=0,"",VLOOKUP($B9,Employees!$A:$G,5,FALSE))</f>
        <v>29640</v>
      </c>
      <c r="F9" s="13">
        <f ca="1">IF($E9="","",ROUNDDOWN(YEARFRAC($E9, 'Week 1 Roster'!$D$1-1, 1), 0))</f>
        <v>44</v>
      </c>
      <c r="G9" s="13">
        <f ca="1">IF($E9="","",ROUNDDOWN(YEARFRAC($E9, 'Week 1 Roster'!$D$1+14, 1), 0))</f>
        <v>44</v>
      </c>
      <c r="H9" s="13" t="b">
        <f t="shared" ca="1" si="10"/>
        <v>0</v>
      </c>
      <c r="I9" s="13">
        <f ca="1">IF($A9=0,"",VLOOKUP($B9,Employees!$A:$G,6,FALSE))</f>
        <v>200</v>
      </c>
      <c r="J9" s="13" t="str">
        <f ca="1">IF($A9=0,"",VLOOKUP($B9,Employees!$A:$G,7,FALSE))</f>
        <v>GCM</v>
      </c>
      <c r="K9" s="13" t="str">
        <f ca="1">IF($A9=0,"",IF(ISNA(VLOOKUP(A9,'Week 1 Roster'!A:C,2,0)),VLOOKUP(A9,'Week 2 Roster'!A:C,2,0),VLOOKUP(A9,'Week 1 Roster'!A:C,2,0)))</f>
        <v>Hotstar Waterloo</v>
      </c>
      <c r="L9" s="13" t="str">
        <f ca="1">IF($A9=0,"",VLOOKUP(K9,Stores!A:B,2,0))</f>
        <v>Winlada</v>
      </c>
      <c r="M9" s="14">
        <f t="shared" ca="1" si="11"/>
        <v>18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4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18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18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4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18</v>
      </c>
      <c r="AV9" s="17"/>
      <c r="AW9" s="25" t="str">
        <f>'Week 1 Roster'!A9</f>
        <v/>
      </c>
      <c r="AX9" s="25">
        <f>'Week 2 Roster'!A9</f>
        <v>10308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00" zoomScale="186" zoomScaleNormal="186" workbookViewId="0">
      <selection activeCell="A525" sqref="A525:G525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76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1444</v>
      </c>
      <c r="C525" s="67" t="s">
        <v>536</v>
      </c>
      <c r="D525" s="67" t="s">
        <v>1445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2025-11-10T05:38:19Z</dcterms:modified>
</cp:coreProperties>
</file>