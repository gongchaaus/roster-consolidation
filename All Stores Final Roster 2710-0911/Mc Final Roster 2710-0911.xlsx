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F51D23F8-EE63-AF4D-8738-B0065C4FA722}" xr6:coauthVersionLast="47" xr6:coauthVersionMax="47" xr10:uidLastSave="{00000000-0000-0000-0000-000000000000}"/>
  <bookViews>
    <workbookView xWindow="0" yWindow="740" windowWidth="29400" windowHeight="1720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5" i="18" l="1"/>
  <c r="AD2" i="18"/>
  <c r="AD8" i="2"/>
  <c r="AZ100" i="2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69" i="2" s="1"/>
  <c r="AW69" i="12" s="1"/>
  <c r="AZ68" i="2"/>
  <c r="AZ67" i="2"/>
  <c r="AZ66" i="2"/>
  <c r="A66" i="2" s="1"/>
  <c r="AW66" i="12" s="1"/>
  <c r="AZ65" i="2"/>
  <c r="AZ64" i="2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53" i="2" s="1"/>
  <c r="AW53" i="12" s="1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21" i="2" s="1"/>
  <c r="AW21" i="12" s="1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3" i="18"/>
  <c r="AX83" i="12" s="1"/>
  <c r="A81" i="18"/>
  <c r="AX81" i="12" s="1"/>
  <c r="A80" i="18"/>
  <c r="AX80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4" i="2"/>
  <c r="AW54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8" i="2"/>
  <c r="AW28" i="12" s="1"/>
  <c r="A27" i="2"/>
  <c r="AW27" i="12" s="1"/>
  <c r="A25" i="2"/>
  <c r="AW25" i="12" s="1"/>
  <c r="A22" i="2"/>
  <c r="AW22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O11" i="18" l="1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A3" i="12" a="1"/>
  <c r="X1" i="2" l="1"/>
  <c r="CG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B3" i="12" l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Z3" i="12" s="1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A3" i="12" l="1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V8" i="12" l="1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S13" i="12" s="1"/>
  <c r="AR13" i="12"/>
  <c r="T13" i="12" s="1"/>
  <c r="I13" i="12"/>
  <c r="A14" i="12" a="1"/>
  <c r="O13" i="12" l="1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O14" i="12" s="1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U14" i="12" l="1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U15" i="12" s="1"/>
  <c r="AP15" i="12"/>
  <c r="AN15" i="12"/>
  <c r="D15" i="12"/>
  <c r="J15" i="12"/>
  <c r="AA15" i="12"/>
  <c r="AD15" i="12"/>
  <c r="E15" i="12"/>
  <c r="F15" i="12" s="1"/>
  <c r="AL15" i="12"/>
  <c r="AF15" i="12"/>
  <c r="T15" i="12" s="1"/>
  <c r="AQ15" i="12"/>
  <c r="AM15" i="12"/>
  <c r="A16" i="12" a="1"/>
  <c r="S15" i="12" l="1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N17" i="12" s="1"/>
  <c r="AG17" i="12"/>
  <c r="AE17" i="12"/>
  <c r="I17" i="12"/>
  <c r="C17" i="12"/>
  <c r="A18" i="12"/>
  <c r="U17" i="12" l="1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R18" i="12" s="1"/>
  <c r="C18" i="12"/>
  <c r="AO18" i="12"/>
  <c r="D18" i="12"/>
  <c r="AQ18" i="12"/>
  <c r="A19" i="12"/>
  <c r="G18" i="12"/>
  <c r="F18" i="12"/>
  <c r="U18" i="12" l="1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N19" i="12" s="1"/>
  <c r="AR19" i="12"/>
  <c r="AH19" i="12"/>
  <c r="E19" i="12"/>
  <c r="G19" i="12" s="1"/>
  <c r="AA19" i="12"/>
  <c r="I19" i="12"/>
  <c r="Y19" i="12"/>
  <c r="D19" i="12"/>
  <c r="A20" i="12"/>
  <c r="O19" i="12" l="1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Q20" i="12" s="1"/>
  <c r="AN20" i="12"/>
  <c r="AF20" i="12"/>
  <c r="AM20" i="12"/>
  <c r="E20" i="12"/>
  <c r="G20" i="12" s="1"/>
  <c r="AP20" i="12"/>
  <c r="AA20" i="12"/>
  <c r="AH20" i="12"/>
  <c r="AT20" i="12"/>
  <c r="AR20" i="12"/>
  <c r="A21" i="12"/>
  <c r="N20" i="12" l="1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AA47" i="12"/>
  <c r="K47" i="12"/>
  <c r="AB47" i="12"/>
  <c r="J47" i="12"/>
  <c r="AP47" i="12"/>
  <c r="A48" i="12" a="1"/>
  <c r="Q47" i="12" l="1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P65" i="12" s="1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R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R101" i="12" l="1"/>
  <c r="V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R133" i="12" l="1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S134" i="12" l="1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Q146" i="12" l="1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U151" i="12" l="1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U155" i="12" s="1"/>
  <c r="J155" i="12"/>
  <c r="K155" i="12"/>
  <c r="I155" i="12"/>
  <c r="AO155" i="12"/>
  <c r="AC155" i="12"/>
  <c r="AK155" i="12"/>
  <c r="B155" i="12"/>
  <c r="A156" i="12" a="1"/>
  <c r="R155" i="12" l="1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R158" i="12" s="1"/>
  <c r="D158" i="12"/>
  <c r="AG158" i="12"/>
  <c r="AH158" i="12"/>
  <c r="J158" i="12"/>
  <c r="AM158" i="12"/>
  <c r="C158" i="12"/>
  <c r="A159" i="12" a="1"/>
  <c r="S158" i="12" l="1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U162" i="12" s="1"/>
  <c r="AC162" i="12"/>
  <c r="AO162" i="12"/>
  <c r="AA162" i="12"/>
  <c r="D162" i="12"/>
  <c r="AQ162" i="12"/>
  <c r="A163" i="12" a="1"/>
  <c r="P162" i="12" l="1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AB167" i="12"/>
  <c r="P167" i="12" s="1"/>
  <c r="A168" i="12" a="1"/>
  <c r="R167" i="12" l="1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O168" i="12" l="1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U175" i="12" s="1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Q175" i="12" l="1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AG177" i="12"/>
  <c r="AH177" i="12"/>
  <c r="A178" i="12" a="1"/>
  <c r="Q177" i="12" l="1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Q185" i="12" l="1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P189" i="12" s="1"/>
  <c r="B189" i="12"/>
  <c r="A190" i="12" a="1"/>
  <c r="S189" i="12" l="1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Q191" i="12" s="1"/>
  <c r="AT191" i="12"/>
  <c r="AM191" i="12"/>
  <c r="I191" i="12"/>
  <c r="B191" i="12"/>
  <c r="AK191" i="12"/>
  <c r="AQ191" i="12"/>
  <c r="AG191" i="12"/>
  <c r="Z191" i="12"/>
  <c r="N191" i="12" s="1"/>
  <c r="A192" i="12" a="1"/>
  <c r="P191" i="12" l="1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R192" i="12" s="1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S192" i="12" s="1"/>
  <c r="I192" i="12"/>
  <c r="AQ192" i="12"/>
  <c r="AA192" i="12"/>
  <c r="AT192" i="12"/>
  <c r="E192" i="12"/>
  <c r="A193" i="12" a="1"/>
  <c r="P192" i="12" l="1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R196" i="12" l="1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P203" i="12" s="1"/>
  <c r="AG203" i="12"/>
  <c r="L203" i="12"/>
  <c r="B203" i="12"/>
  <c r="AT203" i="12"/>
  <c r="Z203" i="12"/>
  <c r="AR203" i="12"/>
  <c r="AN203" i="12"/>
  <c r="AO203" i="12"/>
  <c r="AK203" i="12"/>
  <c r="A204" i="12" a="1"/>
  <c r="U203" i="12" l="1"/>
  <c r="R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Q211" i="12" s="1"/>
  <c r="Y211" i="12"/>
  <c r="AP211" i="12"/>
  <c r="E211" i="12"/>
  <c r="I211" i="12"/>
  <c r="AH211" i="12"/>
  <c r="V211" i="12" s="1"/>
  <c r="A212" i="12" a="1"/>
  <c r="O211" i="12" l="1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Q213" i="12" s="1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R213" i="12" l="1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V216" i="12" l="1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V223" i="12" l="1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P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P229" i="12" s="1"/>
  <c r="AQ229" i="12"/>
  <c r="I229" i="12"/>
  <c r="AO229" i="12"/>
  <c r="AD229" i="12"/>
  <c r="AL229" i="12"/>
  <c r="AR229" i="12"/>
  <c r="AE229" i="12"/>
  <c r="AS229" i="12"/>
  <c r="K229" i="12"/>
  <c r="A230" i="12" a="1"/>
  <c r="O229" i="12" l="1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Q230" i="12" l="1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U239" i="12" l="1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Q241" i="12" s="1"/>
  <c r="A242" i="12" a="1"/>
  <c r="O241" i="12" l="1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S242" i="12" l="1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V253" i="12" l="1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Q262" i="12" l="1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O273" i="12" s="1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R280" i="12" l="1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O293" i="12" l="1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T297" i="12" l="1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O300" i="12" s="1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<sst xmlns="http://schemas.openxmlformats.org/spreadsheetml/2006/main" count="2408" uniqueCount="1444">
  <si>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</si>
  <si>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</si>
  <si>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</si>
  <si>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</si>
  <si>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</si>
  <si>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</si>
  <si>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</si>
  <si>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</si>
  <si>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</si>
  <si>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</si>
  <si>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</si>
  <si>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</si>
  <si>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</si>
  <si>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</si>
  <si>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</si>
  <si>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</si>
  <si>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</si>
  <si>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</si>
  <si>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</si>
  <si>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</si>
  <si>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</si>
  <si>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</si>
  <si>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</si>
  <si>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</si>
  <si>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</si>
  <si>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</si>
  <si>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</si>
  <si>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</si>
  <si>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</si>
  <si>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</si>
  <si>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</si>
  <si>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</si>
  <si>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</si>
  <si>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</si>
  <si>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</si>
  <si>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</si>
  <si>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</si>
  <si>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</si>
  <si>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</si>
  <si>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</si>
  <si>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</si>
  <si>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</si>
  <si>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</si>
  <si>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</si>
  <si>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</si>
  <si>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</si>
  <si>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</si>
  <si>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</si>
  <si>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</si>
  <si>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</si>
  <si>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</si>
  <si>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</si>
  <si>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</si>
  <si>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</si>
  <si>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</si>
  <si>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</si>
  <si>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</si>
  <si>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</si>
  <si>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</si>
  <si>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</si>
  <si>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</si>
  <si>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</si>
  <si>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</si>
  <si>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</si>
  <si>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</si>
  <si>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</si>
  <si>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</si>
  <si>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</si>
  <si>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</si>
  <si>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</si>
  <si>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</si>
  <si>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</si>
  <si>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</si>
  <si>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</si>
  <si>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</si>
  <si>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</si>
  <si>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</si>
  <si>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</si>
  <si>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</si>
  <si>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</si>
  <si>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</si>
  <si>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</si>
  <si>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</si>
  <si>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</si>
  <si>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</si>
  <si>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</si>
  <si>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</si>
  <si>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</si>
  <si>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</si>
  <si>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</si>
  <si>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</si>
  <si>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</si>
  <si>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</si>
  <si>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</si>
  <si>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</si>
  <si>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</si>
  <si>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</si>
  <si>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</si>
  <si>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</si>
  <si>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</si>
  <si>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</si>
  <si>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</si>
  <si>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</si>
  <si>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</si>
  <si>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</si>
  <si>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</si>
  <si>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</si>
  <si>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</si>
  <si>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</si>
  <si>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</si>
  <si>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</si>
  <si>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</si>
  <si>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</si>
  <si>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</si>
  <si>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</si>
  <si>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</si>
  <si>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</si>
  <si>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</si>
  <si>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</si>
  <si>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</si>
  <si>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</si>
  <si>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</si>
  <si>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</si>
  <si>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</si>
  <si>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</si>
  <si>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</si>
  <si>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</si>
  <si>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</si>
  <si>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</si>
  <si>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</si>
  <si>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</si>
  <si>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</si>
  <si>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</si>
  <si>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</si>
  <si>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</si>
  <si>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</si>
  <si>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</si>
  <si>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</si>
  <si>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</si>
  <si>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</si>
  <si>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</si>
  <si>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</si>
  <si>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</si>
  <si>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</si>
  <si>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</si>
  <si>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</si>
  <si>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</si>
  <si>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</si>
  <si>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</si>
  <si>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</si>
  <si>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</si>
  <si>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</si>
  <si>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</si>
  <si>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</si>
  <si>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</si>
  <si>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</si>
  <si>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</si>
  <si>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</si>
  <si>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</si>
  <si>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</si>
  <si>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</si>
  <si>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</si>
  <si>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</si>
  <si>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</si>
  <si>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</si>
  <si>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</si>
  <si>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</si>
  <si>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</si>
  <si>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</si>
  <si>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</si>
  <si>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</si>
  <si>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</si>
  <si>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</si>
  <si>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</si>
  <si>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</si>
  <si>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</si>
  <si>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</si>
  <si>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</si>
  <si>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</si>
  <si>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</si>
  <si>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</si>
  <si>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</si>
  <si>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</si>
  <si>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</si>
  <si>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</si>
  <si>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</si>
  <si>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</si>
  <si>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</si>
  <si>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</si>
  <si>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</si>
  <si>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</si>
  <si>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</si>
  <si>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</si>
  <si>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</si>
  <si>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</si>
  <si>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</si>
  <si>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</si>
  <si>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</si>
  <si>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</si>
  <si>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</si>
  <si>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</si>
  <si>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</si>
  <si>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</si>
  <si>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</si>
  <si>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</si>
  <si>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</si>
  <si>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</si>
  <si>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</si>
  <si>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</si>
  <si>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</si>
  <si>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</si>
  <si>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</si>
  <si>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</si>
  <si>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</si>
  <si>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</si>
  <si>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</si>
  <si>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</si>
  <si>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</si>
  <si>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</si>
  <si>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</si>
  <si>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</si>
  <si>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</si>
  <si>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</si>
  <si>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</si>
  <si>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</si>
  <si>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</si>
  <si>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</si>
  <si>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</si>
  <si>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</si>
  <si>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</si>
  <si>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</si>
  <si>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</si>
  <si>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</si>
  <si>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</si>
  <si>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</si>
  <si>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</si>
  <si>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</si>
  <si>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</si>
  <si>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</si>
  <si>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</si>
  <si>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</si>
  <si>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</si>
  <si>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</si>
  <si>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</si>
  <si>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</si>
  <si>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</si>
  <si>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</si>
  <si>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</si>
  <si>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</si>
  <si>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</si>
  <si>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</si>
  <si>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</si>
  <si>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</si>
  <si>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</si>
  <si>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</si>
  <si>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</si>
  <si>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</si>
  <si>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</si>
  <si>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</si>
  <si>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</si>
  <si>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</si>
  <si>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</si>
  <si>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</si>
  <si>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</si>
  <si>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</si>
  <si>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</si>
  <si>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</si>
  <si>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</si>
  <si>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</si>
  <si>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</si>
  <si>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</si>
  <si>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</si>
  <si>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</si>
  <si>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</si>
  <si>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</si>
  <si>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</si>
  <si>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</si>
  <si>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</si>
  <si>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</si>
  <si>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</si>
  <si>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</si>
  <si>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</si>
  <si>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</si>
  <si>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</si>
  <si>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</si>
  <si>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</si>
  <si>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</si>
  <si>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</si>
  <si>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</si>
  <si>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</si>
  <si>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</si>
  <si>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</si>
  <si>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</si>
  <si>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</si>
  <si>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</si>
  <si>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</si>
  <si>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</si>
  <si>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</si>
  <si>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</si>
  <si>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</si>
  <si>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</si>
  <si>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</si>
  <si>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</si>
  <si>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</si>
  <si>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</si>
  <si>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</si>
  <si>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</si>
  <si>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</si>
  <si>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</si>
  <si>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</si>
  <si>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</si>
  <si>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</si>
  <si>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</si>
  <si>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</si>
  <si>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</si>
  <si>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</si>
  <si>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</si>
  <si>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</si>
  <si>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</si>
  <si>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</si>
  <si>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</si>
  <si>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</si>
  <si>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</si>
  <si>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</si>
  <si>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</si>
  <si>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</si>
  <si>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</si>
  <si>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</si>
  <si>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</si>
  <si>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</si>
  <si>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</si>
  <si>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</si>
  <si>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</si>
  <si>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</si>
  <si>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</si>
  <si>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</si>
  <si>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</si>
  <si>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</si>
  <si>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</si>
  <si>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</si>
  <si>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</si>
  <si>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</si>
  <si>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</si>
  <si>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</si>
  <si>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</si>
  <si>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</si>
  <si>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</si>
  <si>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</si>
  <si>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</si>
  <si>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</si>
  <si>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</si>
  <si>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</si>
  <si>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</si>
  <si>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</si>
  <si>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</si>
  <si>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</si>
  <si>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</si>
  <si>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</si>
  <si>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</si>
  <si>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</si>
  <si>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</si>
  <si>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</si>
  <si>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</si>
  <si>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</si>
  <si>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</si>
  <si>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</si>
  <si>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</si>
  <si>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</si>
  <si>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</si>
  <si>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</si>
  <si>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</si>
  <si>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</si>
  <si>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</si>
  <si>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</si>
  <si>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</si>
  <si>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</si>
  <si>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</si>
  <si>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</si>
  <si>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</si>
  <si>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</si>
  <si>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</si>
  <si>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</si>
  <si>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</si>
  <si>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</si>
  <si>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</si>
  <si>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</si>
  <si>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</si>
  <si>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</si>
  <si>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</si>
  <si>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</si>
  <si>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</si>
  <si>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</si>
  <si>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</si>
  <si>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</si>
  <si>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</si>
  <si>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</si>
  <si>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</si>
  <si>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</si>
  <si>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</si>
  <si>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</si>
  <si>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</si>
  <si>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</si>
  <si>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</si>
  <si>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</si>
  <si>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</si>
  <si>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</si>
  <si>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</si>
  <si>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</si>
  <si>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</si>
  <si>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</si>
  <si>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</si>
  <si>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</si>
  <si>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</si>
  <si>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</si>
  <si>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</si>
  <si>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</si>
  <si>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</si>
  <si>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</si>
  <si>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</si>
  <si>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</si>
  <si>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</si>
  <si>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</si>
  <si>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</si>
  <si>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</si>
  <si>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</si>
  <si>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</si>
  <si>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</si>
  <si>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</si>
  <si>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</si>
  <si>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</si>
  <si>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</si>
  <si>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</si>
  <si>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</si>
  <si>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</si>
  <si>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</si>
  <si>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</si>
  <si>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</si>
  <si>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</si>
  <si>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</si>
  <si>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</si>
  <si>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</si>
  <si>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</si>
  <si>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</si>
  <si>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</si>
  <si>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</si>
  <si>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</si>
  <si>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</si>
  <si>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</si>
  <si>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</si>
  <si>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</si>
  <si>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</si>
  <si>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</si>
  <si>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</si>
  <si>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</si>
  <si>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</si>
  <si>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</si>
  <si>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</si>
  <si>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</si>
  <si>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</si>
  <si>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</si>
  <si>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</si>
  <si>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</si>
  <si>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</si>
  <si>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</si>
  <si>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</si>
  <si>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</si>
  <si>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</si>
  <si>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</si>
  <si>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</si>
  <si>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</si>
  <si>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</si>
  <si>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</si>
  <si>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</si>
  <si>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</si>
  <si>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</si>
  <si>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</si>
  <si>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</si>
  <si>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</si>
  <si>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</si>
  <si>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</si>
  <si>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</si>
  <si>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</si>
  <si>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</si>
  <si>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</si>
  <si>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</si>
  <si>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</si>
  <si>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</si>
  <si>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</si>
  <si>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</si>
  <si>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</si>
  <si>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</si>
  <si>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</si>
  <si>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</si>
  <si>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</si>
  <si>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</si>
  <si>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</si>
  <si>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</si>
  <si>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</si>
  <si>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</si>
  <si>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</si>
  <si>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</si>
  <si>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</si>
  <si>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</si>
  <si>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</si>
  <si>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</si>
  <si>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</si>
  <si>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</si>
  <si>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</si>
  <si>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</si>
  <si>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</si>
  <si>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</si>
  <si>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</si>
  <si>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</si>
  <si>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</si>
  <si>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</si>
  <si>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</si>
  <si>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</si>
  <si>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</si>
  <si>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</si>
  <si>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</si>
  <si>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</si>
  <si>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</si>
  <si>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</si>
  <si>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</si>
  <si>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</si>
  <si>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</si>
  <si>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</si>
  <si>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</si>
  <si>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</si>
  <si>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</si>
  <si>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</si>
  <si>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</si>
  <si>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</si>
  <si>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</si>
  <si>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</si>
  <si>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</si>
  <si>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</si>
  <si>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</si>
  <si>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</si>
  <si>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</si>
  <si>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</si>
  <si>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</si>
  <si>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</si>
  <si>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</si>
  <si>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</si>
  <si>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</si>
  <si>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</si>
  <si>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</si>
  <si>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</si>
  <si>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</si>
  <si>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</si>
  <si>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</si>
  <si>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</si>
  <si>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</si>
  <si>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</si>
  <si>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</si>
  <si>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</si>
  <si>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</si>
  <si>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</si>
  <si>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</si>
  <si>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</si>
  <si>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</si>
  <si>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</si>
  <si>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</si>
  <si>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</si>
  <si>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</si>
  <si>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</si>
  <si>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</si>
  <si>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</si>
  <si>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</si>
  <si>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</si>
  <si>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</si>
  <si>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</si>
  <si>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</si>
  <si>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</si>
  <si>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</si>
  <si>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</si>
  <si>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</si>
  <si>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</si>
  <si>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</si>
  <si>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</si>
  <si>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</si>
  <si>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</si>
  <si>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</si>
  <si>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</si>
  <si>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</si>
  <si>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</si>
  <si>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</si>
  <si>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</si>
  <si>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</si>
  <si>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</si>
  <si>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</si>
  <si>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</si>
  <si>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</si>
  <si>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</si>
  <si>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</si>
  <si>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</si>
  <si>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</si>
  <si>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</si>
  <si>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</si>
  <si>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</si>
  <si>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</si>
  <si>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</si>
  <si>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</si>
  <si>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</si>
  <si>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</si>
  <si>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</si>
  <si>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</si>
  <si>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</si>
  <si>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</si>
  <si>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</si>
  <si>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</si>
  <si>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</si>
  <si>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</si>
  <si>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</si>
  <si>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</si>
  <si>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</si>
  <si>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</si>
  <si>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</si>
  <si>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</si>
  <si>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</si>
  <si>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</si>
  <si>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</si>
  <si>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</si>
  <si>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</si>
  <si>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</si>
  <si>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</si>
  <si>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</si>
  <si>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</si>
  <si>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</si>
  <si>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</si>
  <si>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</si>
  <si>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</si>
  <si>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</si>
  <si>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</si>
  <si>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</si>
  <si>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</si>
  <si>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</si>
  <si>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</si>
  <si>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</si>
  <si>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</si>
  <si>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</si>
  <si>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</si>
  <si>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</si>
  <si>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</si>
  <si>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</si>
  <si>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</si>
  <si>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</si>
  <si>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</si>
  <si>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</si>
  <si>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</si>
  <si>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</si>
  <si>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</si>
  <si>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</si>
  <si>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</si>
  <si>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</si>
  <si>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</si>
  <si>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</si>
  <si>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</si>
  <si>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</si>
  <si>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</si>
  <si>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</si>
  <si>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</si>
  <si>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</si>
  <si>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</si>
  <si>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</si>
  <si>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</si>
  <si>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</si>
  <si>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</si>
  <si>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</si>
  <si>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</si>
  <si>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</si>
  <si>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</si>
  <si>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</si>
  <si>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</si>
  <si>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</si>
  <si>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</si>
  <si>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</si>
  <si>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</si>
  <si>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</si>
  <si>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</si>
  <si>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</si>
  <si>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</si>
  <si>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</si>
  <si>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</si>
  <si>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</si>
  <si>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</si>
  <si>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</si>
  <si>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</si>
  <si>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</si>
  <si>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</si>
  <si>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</si>
  <si>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</si>
  <si>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</si>
  <si>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</si>
  <si>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</si>
  <si>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</si>
  <si>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</si>
  <si>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</si>
  <si>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</si>
  <si>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</si>
  <si>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</si>
  <si>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</si>
  <si>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</si>
  <si>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</si>
  <si>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</si>
  <si>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</si>
  <si>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</si>
  <si>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</si>
  <si>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</si>
  <si>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</si>
  <si>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</si>
  <si>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</si>
  <si>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</si>
  <si>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</si>
  <si>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</si>
  <si>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</si>
  <si>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</si>
  <si>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</si>
  <si>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</si>
  <si>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</si>
  <si>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</si>
  <si>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</si>
  <si>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</si>
  <si>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</si>
  <si>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</si>
  <si>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</si>
  <si>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</si>
  <si>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</si>
  <si>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</si>
  <si>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</si>
  <si>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</si>
  <si>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</si>
  <si>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</si>
  <si>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</si>
  <si>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</si>
  <si>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</si>
  <si>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</si>
  <si>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</si>
  <si>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</si>
  <si>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</si>
  <si>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</si>
  <si>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</si>
  <si>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</si>
  <si>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</si>
  <si>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</si>
  <si>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</si>
  <si>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</si>
  <si>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</si>
  <si>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</si>
  <si>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</si>
  <si>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</si>
  <si>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</si>
  <si>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</si>
  <si>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</si>
  <si>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</si>
  <si>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</si>
  <si>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</si>
  <si>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</si>
  <si>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</si>
  <si>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</si>
  <si>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</si>
  <si>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</si>
  <si>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</si>
  <si>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</si>
  <si>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</si>
  <si>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</si>
  <si>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</si>
  <si>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</si>
  <si>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</si>
  <si>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</si>
  <si>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</si>
  <si>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</si>
  <si>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</si>
  <si>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</si>
  <si>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</si>
  <si>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</si>
  <si>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</si>
  <si>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</si>
  <si>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</si>
  <si>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</si>
  <si>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</si>
  <si>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</si>
  <si>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</si>
  <si>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</si>
  <si>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</si>
  <si>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</si>
  <si>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</si>
  <si>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</si>
  <si>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</si>
  <si>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</si>
  <si>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</si>
  <si>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</si>
  <si>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</si>
  <si>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</si>
  <si>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</si>
  <si>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</si>
  <si>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</si>
  <si>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</si>
  <si>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</si>
  <si>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</si>
  <si>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</si>
  <si>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</si>
  <si>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</si>
  <si>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</si>
  <si>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</si>
  <si>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</si>
  <si>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</si>
  <si>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</si>
  <si>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</si>
  <si>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</si>
  <si>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</si>
  <si>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</si>
  <si>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</si>
  <si>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</si>
  <si>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</si>
  <si>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</si>
  <si>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</si>
  <si>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</si>
  <si>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</si>
  <si>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</si>
  <si>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</si>
  <si>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</si>
  <si>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</si>
  <si>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</si>
  <si>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</si>
  <si>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</si>
  <si>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</si>
  <si>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</si>
  <si>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</si>
  <si>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</si>
  <si>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</si>
  <si>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</si>
  <si>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</si>
  <si>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</si>
  <si>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</si>
  <si>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</si>
  <si>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</si>
  <si>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</si>
  <si>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</si>
  <si>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</si>
  <si>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</si>
  <si>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</si>
  <si>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</si>
  <si>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</si>
  <si>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</si>
  <si>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</si>
  <si>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</si>
  <si>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</si>
  <si>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</si>
  <si>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</si>
  <si>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</si>
  <si>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</si>
  <si>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</si>
  <si>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</si>
  <si>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</si>
  <si>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</si>
  <si>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</si>
  <si>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</si>
  <si>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</si>
  <si>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</si>
  <si>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</si>
  <si>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</si>
  <si>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</si>
  <si>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</si>
  <si>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</si>
  <si>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</si>
  <si>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</si>
  <si>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</si>
  <si>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</si>
  <si>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</si>
  <si>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</si>
  <si>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</si>
  <si>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</si>
  <si>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</si>
  <si>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</si>
  <si>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</si>
  <si>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</si>
  <si>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</si>
  <si>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</si>
  <si>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</si>
  <si>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</si>
  <si>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</si>
  <si>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</si>
  <si>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</si>
  <si>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</si>
  <si>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</si>
  <si>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</si>
  <si>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</si>
  <si>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</si>
  <si>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</si>
  <si>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</si>
  <si>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</si>
  <si>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</si>
  <si>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</si>
  <si>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</si>
  <si>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</si>
  <si>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</si>
  <si>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</si>
  <si>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</si>
  <si>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</si>
  <si>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</si>
  <si>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</si>
  <si>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</si>
  <si>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</si>
  <si>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</si>
  <si>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</si>
  <si>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</si>
  <si>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</si>
  <si>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</si>
  <si>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</si>
  <si>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</si>
  <si>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</si>
  <si>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</si>
  <si>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</si>
  <si>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</si>
  <si>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</si>
  <si>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</si>
  <si>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</si>
  <si>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</si>
  <si>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</si>
  <si>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</si>
  <si>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</si>
  <si>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</si>
  <si>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</si>
  <si>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</si>
  <si>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</si>
  <si>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</si>
  <si>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</si>
  <si>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</si>
  <si>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</si>
  <si>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</si>
  <si>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</si>
  <si>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</si>
  <si>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</si>
  <si>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</si>
  <si>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</si>
  <si>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</si>
  <si>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</si>
  <si>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</si>
  <si>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</si>
  <si>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</si>
  <si>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</si>
  <si>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</si>
  <si>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</si>
  <si>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</si>
  <si>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</si>
  <si>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</si>
  <si>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</si>
  <si>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</si>
  <si>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</si>
  <si>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</si>
  <si>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</si>
  <si>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</si>
  <si>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</si>
  <si>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</si>
  <si>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</si>
  <si>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</si>
  <si>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</si>
  <si>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</si>
  <si>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</si>
  <si>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</si>
  <si>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</si>
  <si>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</si>
  <si>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</si>
  <si>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</si>
  <si>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</si>
  <si>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</si>
  <si>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</si>
  <si>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</si>
  <si>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</si>
  <si>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</si>
  <si>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</si>
  <si>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</si>
  <si>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</si>
  <si>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</si>
  <si>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</si>
  <si>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</si>
  <si>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</si>
  <si>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</si>
  <si>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</si>
  <si>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</si>
  <si>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</si>
  <si>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</si>
  <si>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</si>
  <si>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</si>
  <si>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</si>
  <si>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</si>
  <si>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</si>
  <si>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</si>
  <si>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</si>
  <si>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</si>
  <si>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</si>
  <si>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</si>
  <si>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</si>
  <si>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</si>
  <si>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</si>
  <si>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</si>
  <si>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</si>
  <si>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</si>
  <si>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</si>
  <si>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</si>
  <si>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</si>
  <si>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</si>
  <si>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</si>
  <si>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</si>
  <si>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</si>
  <si>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</si>
  <si>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</si>
  <si>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</si>
  <si>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</si>
  <si>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</si>
  <si>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</si>
  <si>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</si>
  <si>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</si>
  <si>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</si>
  <si>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</si>
  <si>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</si>
  <si>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</si>
  <si>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</si>
  <si>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</si>
  <si>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</si>
  <si>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</si>
  <si>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</si>
  <si>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</si>
  <si>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</si>
  <si>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</si>
  <si>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</si>
  <si>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</si>
  <si>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</si>
  <si>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</si>
  <si>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</si>
  <si>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</si>
  <si>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</si>
  <si>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</si>
  <si>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</si>
  <si>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</si>
  <si>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</si>
  <si>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</si>
  <si>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</si>
  <si>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</si>
  <si>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</si>
  <si>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</si>
  <si>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</si>
  <si>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</si>
  <si>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</si>
  <si>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</si>
  <si>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</si>
  <si>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</si>
  <si>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</si>
  <si>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</si>
  <si>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</si>
  <si>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</si>
  <si>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</si>
  <si>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</si>
  <si>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</si>
  <si>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</si>
  <si>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</si>
  <si>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</si>
  <si>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</si>
  <si>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</si>
  <si>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</si>
  <si>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</si>
  <si>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</si>
  <si>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</si>
  <si>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</si>
  <si>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</si>
  <si>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</si>
  <si>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</si>
  <si>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</si>
  <si>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</si>
  <si>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</si>
  <si>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</si>
  <si>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</si>
  <si>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</si>
  <si>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</si>
  <si>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</si>
  <si>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</si>
  <si>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</si>
  <si>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</si>
  <si>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</si>
  <si>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</si>
  <si>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</si>
  <si>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</si>
  <si>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</si>
  <si>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</si>
  <si>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</si>
  <si>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</si>
  <si>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</si>
  <si>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</si>
  <si>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</si>
  <si>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</si>
  <si>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</si>
  <si>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</si>
  <si>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</si>
  <si>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</si>
  <si>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</si>
  <si>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</si>
  <si>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</si>
  <si>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</si>
  <si>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</si>
  <si>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</si>
  <si>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</si>
  <si>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</si>
  <si>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</si>
  <si>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</si>
  <si>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</si>
  <si>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</si>
  <si>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</si>
  <si>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</si>
  <si>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</si>
  <si>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</si>
  <si>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</si>
  <si>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</si>
  <si>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</si>
  <si>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</si>
  <si>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</si>
  <si>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</si>
  <si>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</si>
  <si>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</si>
  <si>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</si>
  <si>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</si>
  <si>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</si>
  <si>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</si>
  <si>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</si>
  <si>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</si>
  <si>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</si>
  <si>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</si>
  <si>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</si>
  <si>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</si>
  <si>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</si>
  <si>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</si>
  <si>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</si>
  <si>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</si>
  <si>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</si>
  <si>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</si>
  <si>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</si>
  <si>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</si>
  <si>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</si>
  <si>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</si>
  <si>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</si>
  <si>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</si>
  <si>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</si>
  <si>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</si>
  <si>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</si>
  <si>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</si>
  <si>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</si>
  <si>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</si>
  <si>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</si>
  <si>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</si>
  <si>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</si>
  <si>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</si>
  <si>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</si>
  <si>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</si>
  <si>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</si>
  <si>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</si>
  <si>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</si>
  <si>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</si>
  <si>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</si>
  <si>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</si>
  <si>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</si>
  <si>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</si>
  <si>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</si>
  <si>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</si>
  <si>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</si>
  <si>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</si>
  <si>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</si>
  <si>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</si>
  <si>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</si>
  <si>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</si>
  <si>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</si>
  <si>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</si>
  <si>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</si>
  <si>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</si>
  <si>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</si>
  <si>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</si>
  <si>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</si>
  <si>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</si>
  <si>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</si>
  <si>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</si>
  <si>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</si>
  <si>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</si>
  <si>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</si>
  <si>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</si>
  <si>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</si>
  <si>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</si>
  <si>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</si>
  <si>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</si>
  <si>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</si>
  <si>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</si>
  <si>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</si>
  <si>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</si>
  <si>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</si>
  <si>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</si>
  <si>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</si>
  <si>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</si>
  <si>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</si>
  <si>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</si>
  <si>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</si>
  <si>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</si>
  <si>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</si>
  <si>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</si>
  <si>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</si>
  <si>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</si>
  <si>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</si>
  <si>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</si>
  <si>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</si>
  <si>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</si>
  <si>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</si>
  <si>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</si>
  <si>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</si>
  <si>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</si>
  <si>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</si>
  <si>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</si>
  <si>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</si>
  <si>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</si>
  <si>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</si>
  <si>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</si>
  <si>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</si>
  <si>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</si>
  <si>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</si>
  <si>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</si>
  <si>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</si>
  <si>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</si>
  <si>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</si>
  <si>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</si>
  <si>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</si>
  <si>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</si>
  <si>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</si>
  <si>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</si>
  <si>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</si>
  <si>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</si>
  <si>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</si>
  <si>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</si>
  <si>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</si>
  <si>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</si>
  <si>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</si>
  <si>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</si>
  <si>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</si>
  <si>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</si>
  <si>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</si>
  <si>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</si>
  <si>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</si>
  <si>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</si>
  <si>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</si>
  <si>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</si>
  <si>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</si>
  <si>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</si>
  <si>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</si>
  <si>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</si>
  <si>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</si>
  <si>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</si>
  <si>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</si>
  <si>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</si>
  <si>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</si>
  <si>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</si>
  <si>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</si>
  <si>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</si>
  <si>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</si>
  <si>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</si>
  <si>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</si>
  <si>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</si>
  <si>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</si>
  <si>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</si>
  <si>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</si>
  <si>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</si>
  <si>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</si>
  <si>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</si>
  <si>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</si>
  <si>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</si>
  <si>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</si>
  <si>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</si>
  <si>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</si>
  <si>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</si>
  <si>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</si>
  <si>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</si>
  <si>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</si>
  <si>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</si>
  <si>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</si>
  <si>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</si>
  <si>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</si>
  <si>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</si>
  <si>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</si>
  <si>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</si>
  <si>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</si>
  <si>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</si>
  <si>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</si>
  <si>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</si>
  <si>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</si>
  <si>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</si>
  <si>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</si>
  <si>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</si>
  <si>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</si>
  <si>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</si>
  <si>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</si>
  <si>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</si>
  <si>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</si>
  <si>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</si>
  <si>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</si>
  <si>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</si>
  <si>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</si>
  <si>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</si>
  <si>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</si>
  <si>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</si>
  <si>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</si>
  <si>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</si>
  <si>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</si>
  <si>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</si>
  <si>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</si>
  <si>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</si>
  <si>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</si>
  <si>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</si>
  <si>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</si>
  <si>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</si>
  <si>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</si>
  <si>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</si>
  <si>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</si>
  <si>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</si>
  <si>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</si>
  <si>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</si>
  <si>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</si>
  <si>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</si>
  <si>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</si>
  <si>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</si>
  <si>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</si>
  <si>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</si>
  <si>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</si>
  <si>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</si>
  <si>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</si>
  <si>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</si>
  <si>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</si>
  <si>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</si>
  <si>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</si>
  <si>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</si>
  <si>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</si>
  <si>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</si>
  <si>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</si>
  <si>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</si>
  <si>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</si>
  <si>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</si>
  <si>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</si>
  <si>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</si>
  <si>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</si>
  <si>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</si>
  <si>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</si>
  <si>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</si>
  <si>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</si>
  <si>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</si>
  <si>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</si>
  <si>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</si>
  <si>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</si>
  <si>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</si>
  <si>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</si>
  <si>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</si>
  <si>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</si>
  <si>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</si>
  <si>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</si>
  <si>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</si>
  <si>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</si>
  <si>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</si>
  <si>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</si>
  <si>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</si>
  <si>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</si>
  <si>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</si>
  <si>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</si>
  <si>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</si>
  <si>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</si>
  <si>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</si>
  <si>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</si>
  <si>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</si>
  <si>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</si>
  <si>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</si>
  <si>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</si>
  <si>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</si>
  <si>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</si>
  <si>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</si>
  <si>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</si>
  <si>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</si>
  <si>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</si>
  <si>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</si>
  <si>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</si>
  <si>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</si>
  <si>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</si>
  <si>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</si>
  <si>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</si>
  <si>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</si>
  <si>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</si>
  <si>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</si>
  <si>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</si>
  <si>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</si>
  <si>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</si>
  <si>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</si>
  <si>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</si>
  <si>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</si>
  <si>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</si>
  <si>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</si>
  <si>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</si>
  <si>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</si>
  <si>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</si>
  <si>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</si>
  <si>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</si>
  <si>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</si>
  <si>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</si>
  <si>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</si>
  <si>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</si>
  <si>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</si>
  <si>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</si>
  <si>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</si>
  <si>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</si>
  <si>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</si>
  <si>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</si>
  <si>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</si>
  <si>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</si>
  <si>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</si>
  <si>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</si>
  <si>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</si>
  <si>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</si>
  <si>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</si>
  <si>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</si>
  <si>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</si>
  <si>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</si>
  <si>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</si>
  <si>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</si>
  <si>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</si>
  <si>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</si>
  <si>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</si>
  <si>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</si>
  <si>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</si>
  <si>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</si>
  <si>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</si>
  <si>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</si>
  <si>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</si>
  <si>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</si>
  <si>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</si>
  <si>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</si>
  <si>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</si>
  <si>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Chau</t>
  </si>
  <si>
    <t xml:space="preserve">27/10 break extra 37' (quiet) (-0,62)
29/10 break extra 15' (-0,25)
30/10 no break (busy) (+0,5)
31/10 break only 1H instead of 1H10 (+0,167)
1/11 no break ( +0,5)
2/11 no break  (+0,5)
+1,5 do roster </t>
  </si>
  <si>
    <t>29/10 no break (busy)
30/10 no break (busy)
31/10 no break (busy)</t>
  </si>
  <si>
    <t xml:space="preserve">28/10 no break </t>
  </si>
  <si>
    <t>28/10 Jen just work 2 hours in total. she is busy with assignment. Wed: 21:08-23:08</t>
  </si>
  <si>
    <t>6/11 no break , can not check out because no internet.
7/11 no break 
9/11 start at 9:50 for opening on time. 
+1,5 do roster</t>
  </si>
  <si>
    <t>6/11 no break ( because do closing with new staff)
7/11 no break (+1)</t>
  </si>
  <si>
    <t xml:space="preserve">
6/11 no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</si>
</sst>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rgb="FF0C0C0C"/>
      <name val="Helvetica Neue"/>
      <family val="2"/>
    </font>
    <font>
      <sz val="18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wrapText="1"/>
      <protection locked="0"/>
    </xf>
    <xf numFmtId="0" fontId="43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/>
      <protection locked="0"/>
    </xf>
    <xf numFmtId="20" fontId="8" fillId="0" borderId="0" xfId="0" applyNumberFormat="1" applyFont="1" applyProtection="1">
      <protection locked="0"/>
    </xf>
    <xf numFmtId="20" fontId="30" fillId="0" borderId="0" xfId="0" applyNumberFormat="1" applyFont="1" applyAlignment="1" applyProtection="1">
      <alignment horizontal="center" wrapText="1"/>
      <protection locked="0"/>
    </xf>
    <xf numFmtId="165" fontId="30" fillId="0" borderId="0" xfId="0" applyNumberFormat="1" applyFont="1" applyAlignment="1" applyProtection="1">
      <alignment horizont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AD2" activePane="bottomRight" state="frozen"/>
      <selection pane="topRight" activeCell="D1" sqref="D1"/>
      <selection pane="bottomLeft" activeCell="A2" sqref="A2"/>
      <selection pane="bottomRight" activeCell="AR5" sqref="AR5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10156</v>
      </c>
      <c r="B2" s="81" t="s">
        <v>26</v>
      </c>
      <c r="C2" s="100" t="s">
        <v>1436</v>
      </c>
      <c r="D2" s="103">
        <v>0.39583333333333331</v>
      </c>
      <c r="E2" s="103">
        <v>0.72916666666666663</v>
      </c>
      <c r="F2" s="91">
        <f>BA2-BB2</f>
        <v>7.5</v>
      </c>
      <c r="G2" s="104"/>
      <c r="H2" s="104"/>
      <c r="I2" s="91">
        <f>BF2-BG2</f>
        <v>0</v>
      </c>
      <c r="J2" s="103">
        <v>0.39583333333333331</v>
      </c>
      <c r="K2" s="103">
        <v>0.75</v>
      </c>
      <c r="L2" s="91">
        <f>BK2-BL2</f>
        <v>8</v>
      </c>
      <c r="M2" s="103">
        <v>0.48194444444444445</v>
      </c>
      <c r="N2" s="103">
        <v>0.73819444444444449</v>
      </c>
      <c r="O2" s="91">
        <f>BP2-BQ2</f>
        <v>5.65</v>
      </c>
      <c r="P2" s="103">
        <v>0.40277777777777779</v>
      </c>
      <c r="Q2" s="103">
        <v>0.8125</v>
      </c>
      <c r="R2" s="91">
        <f>BU2-BV2</f>
        <v>8.8333333333333321</v>
      </c>
      <c r="S2" s="103">
        <v>0.40972222222222221</v>
      </c>
      <c r="T2" s="103">
        <v>0.75347222222222221</v>
      </c>
      <c r="U2" s="91">
        <f>BZ2-CA2</f>
        <v>7.75</v>
      </c>
      <c r="V2" s="103">
        <v>0.41666666666666669</v>
      </c>
      <c r="W2" s="103">
        <v>0.75</v>
      </c>
      <c r="X2" s="91">
        <f>CE2-CF2</f>
        <v>7.5</v>
      </c>
      <c r="Y2" s="91"/>
      <c r="Z2" s="91"/>
      <c r="AA2" s="91"/>
      <c r="AB2" s="91">
        <f>SUM(F2,I2,L2,O2,R2,U2,X2)</f>
        <v>45.233333333333334</v>
      </c>
      <c r="AC2" s="92"/>
      <c r="AD2" s="78">
        <v>-4.3</v>
      </c>
      <c r="AE2" s="93">
        <f t="shared" ref="AE2:AE40" si="1">SUMIF($BC$1:$CI$1,AE$1,$BC2:$CI2)+AD2</f>
        <v>25.68333333333333</v>
      </c>
      <c r="AF2" s="77"/>
      <c r="AG2" s="93">
        <f t="shared" ref="AG2:AG40" si="2">SUMIF($BC$1:$CI$1,AG$1,$BC2:$CI2)+AF2</f>
        <v>7.75</v>
      </c>
      <c r="AH2" s="78"/>
      <c r="AI2" s="93">
        <f t="shared" ref="AI2:AI40" si="3">SUMIF($BC$1:$CI$1,AI$1,$BC2:$CI2)+AH2</f>
        <v>7.5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6</v>
      </c>
      <c r="AQ2" s="77"/>
      <c r="AR2" s="77"/>
      <c r="AS2" s="77"/>
      <c r="AT2" s="44">
        <f>AE2+AG2+AI2+AK2+AM2+AO2+SUM(AQ2:AS2)</f>
        <v>40.93333333333333</v>
      </c>
      <c r="AU2" s="78" t="s">
        <v>1437</v>
      </c>
      <c r="AV2" s="5"/>
      <c r="AW2" s="5"/>
      <c r="AX2" s="5"/>
      <c r="AY2" s="5"/>
      <c r="AZ2" s="24">
        <f>VLOOKUP(C2,Employees!D:I,6,FALSE)</f>
        <v>10156</v>
      </c>
      <c r="BA2" s="5">
        <f>IF(ISBLANK(D2),0,(E2-D2)*24)</f>
        <v>8</v>
      </c>
      <c r="BB2" s="5">
        <f>IF(BA2&gt;$AY$1,1,IF(BA2&gt;=$AX$1,0.5,0))</f>
        <v>0.5</v>
      </c>
      <c r="BC2" s="5">
        <f>BA2-BB2-BD2-BE2</f>
        <v>7.5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8.5</v>
      </c>
      <c r="BL2" s="5">
        <f>IF(BK2&gt;$AY$1,1,IF(BK2&gt;=$AX$1,0.5,0))</f>
        <v>0.5</v>
      </c>
      <c r="BM2" s="5">
        <f>BK2-BL2-BN2-BO2</f>
        <v>8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6.15</v>
      </c>
      <c r="BQ2" s="5">
        <f>IF(BP2&gt;$AY$1,1,IF(BP2&gt;=$AX$1,0.5,0))</f>
        <v>0.5</v>
      </c>
      <c r="BR2" s="5">
        <f>BP2-BQ2-BS2-BT2</f>
        <v>5.65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9.8333333333333321</v>
      </c>
      <c r="BV2" s="5">
        <f>IF(BU2&gt;$AY$1,1,IF(BU2&gt;=$AX$1,0.5,0))</f>
        <v>1</v>
      </c>
      <c r="BW2" s="5">
        <f>BU2-BV2-BX2-BY2</f>
        <v>8.8333333333333321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8.25</v>
      </c>
      <c r="CA2" s="5">
        <f>IF(BZ2&gt;$AY$1,1,IF(BZ2&gt;=$AX$1,0.5,0))</f>
        <v>0.5</v>
      </c>
      <c r="CB2" s="5">
        <f>BZ2-CA2-CC2-CD2</f>
        <v>7.75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8</v>
      </c>
      <c r="CF2" s="5">
        <f>IF(CE2&gt;$AY$1,1,IF(CE2&gt;=$AX$1,0.5,0))</f>
        <v>0.5</v>
      </c>
      <c r="CG2" s="5">
        <f>CE2-CF2-CH2-CI2</f>
        <v>7.5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74">
        <f t="shared" si="0"/>
        <v>10312</v>
      </c>
      <c r="B3" s="81" t="s">
        <v>26</v>
      </c>
      <c r="C3" s="101" t="s">
        <v>870</v>
      </c>
      <c r="D3" s="104"/>
      <c r="E3" s="104"/>
      <c r="F3" s="91">
        <f t="shared" ref="F3:F69" si="15">BA3-BB3</f>
        <v>0</v>
      </c>
      <c r="G3" s="104"/>
      <c r="H3" s="104"/>
      <c r="I3" s="91">
        <f t="shared" ref="I3:I69" si="16">BF3-BG3</f>
        <v>0</v>
      </c>
      <c r="J3" s="104"/>
      <c r="K3" s="104"/>
      <c r="L3" s="91">
        <f t="shared" ref="L3:L69" si="17">BK3-BL3</f>
        <v>0</v>
      </c>
      <c r="M3" s="104"/>
      <c r="N3" s="104"/>
      <c r="O3" s="91">
        <f t="shared" ref="O3:O69" si="18">BP3-BQ3</f>
        <v>0</v>
      </c>
      <c r="P3" s="104"/>
      <c r="Q3" s="104"/>
      <c r="R3" s="91">
        <f t="shared" ref="R3:R69" si="19">BU3-BV3</f>
        <v>0</v>
      </c>
      <c r="S3" s="103">
        <v>0.67500000000000004</v>
      </c>
      <c r="T3" s="103">
        <v>0.96805555555555556</v>
      </c>
      <c r="U3" s="91">
        <f t="shared" ref="U3:U69" si="20">BZ3-CA3</f>
        <v>6.5333333333333323</v>
      </c>
      <c r="V3" s="104"/>
      <c r="W3" s="10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6.5333333333333323</v>
      </c>
      <c r="AC3" s="92"/>
      <c r="AD3" s="78"/>
      <c r="AE3" s="93">
        <f t="shared" si="1"/>
        <v>0</v>
      </c>
      <c r="AF3" s="77"/>
      <c r="AG3" s="93">
        <f t="shared" si="2"/>
        <v>6.5333333333333323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1</v>
      </c>
      <c r="AQ3" s="77"/>
      <c r="AR3" s="77">
        <v>15</v>
      </c>
      <c r="AS3" s="77"/>
      <c r="AT3" s="44">
        <f t="shared" ref="AT3:AT69" si="24">AE3+AG3+AI3+AK3+AM3+AO3+SUM(AQ3:AS3)</f>
        <v>21.533333333333331</v>
      </c>
      <c r="AU3" s="78"/>
      <c r="AV3" s="5"/>
      <c r="AW3" s="5"/>
      <c r="AX3" s="5"/>
      <c r="AY3" s="5"/>
      <c r="AZ3" s="24">
        <f>VLOOKUP(C3,Employees!D:I,6,FALSE)</f>
        <v>10312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7.0333333333333323</v>
      </c>
      <c r="CA3" s="5">
        <f t="shared" ref="CA3:CA66" si="49">IF(BZ3&gt;$AY$1,1,IF(BZ3&gt;=$AX$1,0.5,0))</f>
        <v>0.5</v>
      </c>
      <c r="CB3" s="5">
        <f t="shared" ref="CB3:CB66" si="50">BZ3-CA3-CC3-CD3</f>
        <v>5.299999999999998</v>
      </c>
      <c r="CC3" s="5">
        <f t="shared" ref="CC3:CC66" si="51">IF(AND(T3&gt;$AV$1, S3&lt;$AW$1),(MIN(T3,$AW$1)-MAX(S3,$AV$1))*24,0)</f>
        <v>1.2333333333333343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>
        <f t="shared" si="0"/>
        <v>10365</v>
      </c>
      <c r="B4" s="81" t="s">
        <v>26</v>
      </c>
      <c r="C4" s="101" t="s">
        <v>1009</v>
      </c>
      <c r="D4" s="104"/>
      <c r="E4" s="104"/>
      <c r="F4" s="91">
        <f t="shared" si="15"/>
        <v>0</v>
      </c>
      <c r="G4" s="104"/>
      <c r="H4" s="104"/>
      <c r="I4" s="91">
        <f t="shared" si="16"/>
        <v>0</v>
      </c>
      <c r="J4" s="104"/>
      <c r="K4" s="104"/>
      <c r="L4" s="91">
        <f t="shared" si="17"/>
        <v>0</v>
      </c>
      <c r="M4" s="105">
        <v>0.5625</v>
      </c>
      <c r="N4" s="103">
        <v>0.9604166666666667</v>
      </c>
      <c r="O4" s="91">
        <f t="shared" si="18"/>
        <v>8.5500000000000007</v>
      </c>
      <c r="P4" s="105">
        <v>0.54166666666666663</v>
      </c>
      <c r="Q4" s="103">
        <v>0.96458333333333335</v>
      </c>
      <c r="R4" s="91">
        <f t="shared" si="19"/>
        <v>9.1500000000000021</v>
      </c>
      <c r="S4" s="103">
        <v>0.58958333333333335</v>
      </c>
      <c r="T4" s="103">
        <v>0.96805555555555556</v>
      </c>
      <c r="U4" s="91">
        <f t="shared" si="20"/>
        <v>8.0833333333333321</v>
      </c>
      <c r="V4" s="103">
        <v>0.66666666666666663</v>
      </c>
      <c r="W4" s="103">
        <v>0.96111111111111114</v>
      </c>
      <c r="X4" s="91">
        <f t="shared" si="21"/>
        <v>6.5666666666666682</v>
      </c>
      <c r="Y4" s="91"/>
      <c r="Z4" s="91"/>
      <c r="AA4" s="91"/>
      <c r="AB4" s="91">
        <f t="shared" si="22"/>
        <v>32.35</v>
      </c>
      <c r="AC4" s="92"/>
      <c r="AD4" s="78"/>
      <c r="AE4" s="93">
        <f t="shared" si="1"/>
        <v>15.5</v>
      </c>
      <c r="AF4" s="77"/>
      <c r="AG4" s="93">
        <f t="shared" si="2"/>
        <v>8.0833333333333321</v>
      </c>
      <c r="AH4" s="78"/>
      <c r="AI4" s="93">
        <f t="shared" si="3"/>
        <v>6.5666666666666682</v>
      </c>
      <c r="AJ4" s="77"/>
      <c r="AK4" s="93">
        <f t="shared" si="4"/>
        <v>0</v>
      </c>
      <c r="AL4" s="77"/>
      <c r="AM4" s="93">
        <f t="shared" si="5"/>
        <v>2.2000000000000028</v>
      </c>
      <c r="AN4" s="77"/>
      <c r="AO4" s="93">
        <f t="shared" si="6"/>
        <v>0</v>
      </c>
      <c r="AP4" s="94">
        <f t="shared" si="23"/>
        <v>4</v>
      </c>
      <c r="AQ4" s="77"/>
      <c r="AR4" s="77"/>
      <c r="AS4" s="77"/>
      <c r="AT4" s="44">
        <f t="shared" si="24"/>
        <v>32.35</v>
      </c>
      <c r="AU4" s="78"/>
      <c r="AV4" s="5"/>
      <c r="AW4" s="5"/>
      <c r="AX4" s="5"/>
      <c r="AY4" s="5"/>
      <c r="AZ4" s="24">
        <f>VLOOKUP(C4,Employees!D:I,6,FALSE)</f>
        <v>10365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9.5500000000000007</v>
      </c>
      <c r="BQ4" s="5">
        <f t="shared" si="40"/>
        <v>1</v>
      </c>
      <c r="BR4" s="5">
        <f t="shared" si="41"/>
        <v>7.4999999999999991</v>
      </c>
      <c r="BS4" s="5">
        <f t="shared" si="42"/>
        <v>1.0500000000000016</v>
      </c>
      <c r="BT4" s="5">
        <f t="shared" si="43"/>
        <v>0</v>
      </c>
      <c r="BU4" s="5">
        <f t="shared" si="44"/>
        <v>10.150000000000002</v>
      </c>
      <c r="BV4" s="5">
        <f t="shared" si="45"/>
        <v>1</v>
      </c>
      <c r="BW4" s="5">
        <f t="shared" si="46"/>
        <v>8</v>
      </c>
      <c r="BX4" s="5">
        <f t="shared" si="47"/>
        <v>1.1500000000000012</v>
      </c>
      <c r="BY4" s="5">
        <f t="shared" si="11"/>
        <v>0</v>
      </c>
      <c r="BZ4" s="5">
        <f t="shared" si="48"/>
        <v>9.0833333333333321</v>
      </c>
      <c r="CA4" s="5">
        <f t="shared" si="49"/>
        <v>1</v>
      </c>
      <c r="CB4" s="5">
        <f t="shared" si="50"/>
        <v>6.8499999999999979</v>
      </c>
      <c r="CC4" s="5">
        <f t="shared" si="51"/>
        <v>1.2333333333333343</v>
      </c>
      <c r="CD4" s="5">
        <f t="shared" si="52"/>
        <v>0</v>
      </c>
      <c r="CE4" s="5">
        <f t="shared" si="53"/>
        <v>7.0666666666666682</v>
      </c>
      <c r="CF4" s="5">
        <f t="shared" si="54"/>
        <v>0.5</v>
      </c>
      <c r="CG4" s="5">
        <f t="shared" si="55"/>
        <v>5.5</v>
      </c>
      <c r="CH4" s="5">
        <f t="shared" si="56"/>
        <v>1.0666666666666682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10378</v>
      </c>
      <c r="B5" s="81" t="s">
        <v>26</v>
      </c>
      <c r="C5" s="101" t="s">
        <v>1039</v>
      </c>
      <c r="D5" s="105">
        <v>0.64583333333333337</v>
      </c>
      <c r="E5" s="105">
        <v>0.94097222222222221</v>
      </c>
      <c r="F5" s="91">
        <f t="shared" si="15"/>
        <v>6.5833333333333321</v>
      </c>
      <c r="G5" s="105">
        <v>0.625</v>
      </c>
      <c r="H5" s="105">
        <v>0.95972222222222225</v>
      </c>
      <c r="I5" s="91">
        <f t="shared" si="16"/>
        <v>7.533333333333335</v>
      </c>
      <c r="J5" s="105">
        <v>0.62847222222222221</v>
      </c>
      <c r="K5" s="105">
        <v>0.96458333333333335</v>
      </c>
      <c r="L5" s="91">
        <f t="shared" si="17"/>
        <v>7.5666666666666664</v>
      </c>
      <c r="M5" s="105">
        <v>0.70833333333333337</v>
      </c>
      <c r="N5" s="103">
        <v>0.96875</v>
      </c>
      <c r="O5" s="91">
        <f t="shared" si="18"/>
        <v>5.7499999999999991</v>
      </c>
      <c r="P5" s="105">
        <v>0.66666666666666663</v>
      </c>
      <c r="Q5" s="105">
        <v>0.96597222222222223</v>
      </c>
      <c r="R5" s="91">
        <f t="shared" si="19"/>
        <v>6.6833333333333345</v>
      </c>
      <c r="S5" s="104"/>
      <c r="T5" s="104"/>
      <c r="U5" s="91">
        <f t="shared" si="20"/>
        <v>0</v>
      </c>
      <c r="V5" s="104"/>
      <c r="W5" s="104"/>
      <c r="X5" s="91">
        <f t="shared" si="21"/>
        <v>0</v>
      </c>
      <c r="Y5" s="91"/>
      <c r="Z5" s="91"/>
      <c r="AA5" s="91"/>
      <c r="AB5" s="91">
        <f t="shared" si="22"/>
        <v>34.116666666666667</v>
      </c>
      <c r="AC5" s="92"/>
      <c r="AD5" s="78">
        <v>1.5</v>
      </c>
      <c r="AE5" s="93">
        <f t="shared" si="1"/>
        <v>30.416666666666664</v>
      </c>
      <c r="AF5" s="77"/>
      <c r="AG5" s="93">
        <f t="shared" si="2"/>
        <v>0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5.2000000000000055</v>
      </c>
      <c r="AN5" s="77"/>
      <c r="AO5" s="93">
        <f t="shared" si="6"/>
        <v>0</v>
      </c>
      <c r="AP5" s="94">
        <f t="shared" si="23"/>
        <v>5</v>
      </c>
      <c r="AQ5" s="77"/>
      <c r="AR5" s="77"/>
      <c r="AS5" s="77"/>
      <c r="AT5" s="44">
        <f t="shared" si="24"/>
        <v>35.616666666666667</v>
      </c>
      <c r="AU5" s="78" t="s">
        <v>1438</v>
      </c>
      <c r="AV5" s="5"/>
      <c r="AW5" s="5"/>
      <c r="AX5" s="5"/>
      <c r="AY5" s="5"/>
      <c r="AZ5" s="24">
        <f>VLOOKUP(C5,Employees!D:I,6,FALSE)</f>
        <v>10378</v>
      </c>
      <c r="BA5" s="5">
        <f t="shared" si="25"/>
        <v>7.0833333333333321</v>
      </c>
      <c r="BB5" s="5">
        <f t="shared" si="26"/>
        <v>0.5</v>
      </c>
      <c r="BC5" s="5">
        <f t="shared" si="27"/>
        <v>5.9999999999999982</v>
      </c>
      <c r="BD5" s="5">
        <f t="shared" si="58"/>
        <v>0.58333333333333393</v>
      </c>
      <c r="BE5" s="5">
        <f t="shared" si="28"/>
        <v>0</v>
      </c>
      <c r="BF5" s="5">
        <f t="shared" si="29"/>
        <v>8.033333333333335</v>
      </c>
      <c r="BG5" s="5">
        <f t="shared" si="30"/>
        <v>0.5</v>
      </c>
      <c r="BH5" s="5">
        <f t="shared" si="31"/>
        <v>6.5</v>
      </c>
      <c r="BI5" s="5">
        <f t="shared" si="32"/>
        <v>1.033333333333335</v>
      </c>
      <c r="BJ5" s="5">
        <f t="shared" si="33"/>
        <v>0</v>
      </c>
      <c r="BK5" s="5">
        <f t="shared" si="34"/>
        <v>8.0666666666666664</v>
      </c>
      <c r="BL5" s="5">
        <f t="shared" si="35"/>
        <v>0.5</v>
      </c>
      <c r="BM5" s="5">
        <f t="shared" si="36"/>
        <v>6.4166666666666652</v>
      </c>
      <c r="BN5" s="5">
        <f t="shared" si="37"/>
        <v>1.1500000000000012</v>
      </c>
      <c r="BO5" s="5">
        <f t="shared" si="38"/>
        <v>0</v>
      </c>
      <c r="BP5" s="5">
        <f t="shared" si="39"/>
        <v>6.2499999999999991</v>
      </c>
      <c r="BQ5" s="5">
        <f t="shared" si="40"/>
        <v>0.5</v>
      </c>
      <c r="BR5" s="5">
        <f t="shared" si="41"/>
        <v>4.4999999999999982</v>
      </c>
      <c r="BS5" s="5">
        <f t="shared" si="42"/>
        <v>1.2500000000000009</v>
      </c>
      <c r="BT5" s="5">
        <f t="shared" si="43"/>
        <v>0</v>
      </c>
      <c r="BU5" s="5">
        <f t="shared" si="44"/>
        <v>7.1833333333333345</v>
      </c>
      <c r="BV5" s="5">
        <f t="shared" si="45"/>
        <v>0.5</v>
      </c>
      <c r="BW5" s="5">
        <f t="shared" si="46"/>
        <v>5.5</v>
      </c>
      <c r="BX5" s="5">
        <f t="shared" si="47"/>
        <v>1.1833333333333345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5</v>
      </c>
    </row>
    <row r="6" spans="1:89" ht="38" customHeight="1">
      <c r="A6" s="74">
        <f t="shared" si="0"/>
        <v>210419</v>
      </c>
      <c r="B6" s="81" t="s">
        <v>26</v>
      </c>
      <c r="C6" s="101" t="s">
        <v>1150</v>
      </c>
      <c r="D6" s="104"/>
      <c r="E6" s="104"/>
      <c r="F6" s="91">
        <f t="shared" si="15"/>
        <v>0</v>
      </c>
      <c r="G6" s="106">
        <v>0.54861111111111116</v>
      </c>
      <c r="H6" s="103">
        <v>0.89652777777777781</v>
      </c>
      <c r="I6" s="91">
        <f t="shared" si="16"/>
        <v>7.85</v>
      </c>
      <c r="J6" s="105"/>
      <c r="K6" s="103"/>
      <c r="L6" s="91">
        <f t="shared" si="17"/>
        <v>0</v>
      </c>
      <c r="M6" s="104"/>
      <c r="N6" s="104"/>
      <c r="O6" s="91">
        <f t="shared" si="18"/>
        <v>0</v>
      </c>
      <c r="P6" s="75"/>
      <c r="Q6" s="75"/>
      <c r="R6" s="91">
        <f t="shared" si="19"/>
        <v>0</v>
      </c>
      <c r="S6" s="105"/>
      <c r="T6" s="103"/>
      <c r="U6" s="91">
        <f t="shared" si="20"/>
        <v>0</v>
      </c>
      <c r="V6" s="104"/>
      <c r="W6" s="104"/>
      <c r="X6" s="91">
        <f t="shared" si="21"/>
        <v>0</v>
      </c>
      <c r="Y6" s="91"/>
      <c r="Z6" s="91"/>
      <c r="AA6" s="91"/>
      <c r="AB6" s="91">
        <f t="shared" si="22"/>
        <v>7.85</v>
      </c>
      <c r="AC6" s="92"/>
      <c r="AD6" s="78">
        <v>0.87</v>
      </c>
      <c r="AE6" s="93">
        <f t="shared" si="1"/>
        <v>8.7199999999999989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>
        <v>1.1299999999999999</v>
      </c>
      <c r="AM6" s="93">
        <f t="shared" si="5"/>
        <v>1.1299999999999999</v>
      </c>
      <c r="AN6" s="77"/>
      <c r="AO6" s="93">
        <f t="shared" si="6"/>
        <v>0</v>
      </c>
      <c r="AP6" s="94">
        <f t="shared" si="23"/>
        <v>1</v>
      </c>
      <c r="AQ6" s="77"/>
      <c r="AR6" s="77"/>
      <c r="AS6" s="77"/>
      <c r="AT6" s="44">
        <f t="shared" si="24"/>
        <v>9.8499999999999979</v>
      </c>
      <c r="AU6" s="78" t="s">
        <v>1440</v>
      </c>
      <c r="AV6" s="5"/>
      <c r="AW6" s="5"/>
      <c r="AX6" s="5"/>
      <c r="AY6" s="5"/>
      <c r="AZ6" s="24">
        <f>VLOOKUP(C6,Employees!D:I,6,FALSE)</f>
        <v>210419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8.35</v>
      </c>
      <c r="BG6" s="5">
        <f t="shared" si="30"/>
        <v>0.5</v>
      </c>
      <c r="BH6" s="5">
        <f t="shared" si="31"/>
        <v>7.85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1</v>
      </c>
    </row>
    <row r="7" spans="1:89" ht="38" customHeight="1">
      <c r="A7" s="74">
        <f t="shared" si="0"/>
        <v>210425</v>
      </c>
      <c r="B7" s="81" t="s">
        <v>26</v>
      </c>
      <c r="C7" s="101" t="s">
        <v>1167</v>
      </c>
      <c r="D7" s="104"/>
      <c r="E7" s="104"/>
      <c r="F7" s="91">
        <f t="shared" si="15"/>
        <v>0</v>
      </c>
      <c r="G7" s="104"/>
      <c r="H7" s="104"/>
      <c r="I7" s="91">
        <f t="shared" si="16"/>
        <v>0</v>
      </c>
      <c r="J7" s="84"/>
      <c r="K7" s="84"/>
      <c r="L7" s="91">
        <f t="shared" si="17"/>
        <v>0</v>
      </c>
      <c r="M7" s="104"/>
      <c r="N7" s="104"/>
      <c r="O7" s="91">
        <f t="shared" si="18"/>
        <v>0</v>
      </c>
      <c r="P7" s="75"/>
      <c r="Q7" s="75"/>
      <c r="R7" s="91">
        <f t="shared" si="19"/>
        <v>0</v>
      </c>
      <c r="S7" s="104"/>
      <c r="T7" s="104"/>
      <c r="U7" s="91">
        <f t="shared" si="20"/>
        <v>0</v>
      </c>
      <c r="V7" s="105">
        <v>0.57986111111111116</v>
      </c>
      <c r="W7" s="103">
        <v>0.875</v>
      </c>
      <c r="X7" s="91">
        <f t="shared" si="21"/>
        <v>6.5833333333333321</v>
      </c>
      <c r="Y7" s="91"/>
      <c r="Z7" s="91"/>
      <c r="AA7" s="91"/>
      <c r="AB7" s="91">
        <f t="shared" si="22"/>
        <v>6.5833333333333321</v>
      </c>
      <c r="AC7" s="92"/>
      <c r="AD7" s="78"/>
      <c r="AE7" s="93">
        <f t="shared" si="1"/>
        <v>0</v>
      </c>
      <c r="AF7" s="77"/>
      <c r="AG7" s="93">
        <f t="shared" si="2"/>
        <v>0</v>
      </c>
      <c r="AH7" s="77"/>
      <c r="AI7" s="93">
        <f t="shared" si="3"/>
        <v>6.5833333333333321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1</v>
      </c>
      <c r="AQ7" s="77"/>
      <c r="AR7" s="77"/>
      <c r="AS7" s="77"/>
      <c r="AT7" s="44">
        <f t="shared" si="24"/>
        <v>6.5833333333333321</v>
      </c>
      <c r="AU7" s="78"/>
      <c r="AV7" s="5"/>
      <c r="AW7" s="5"/>
      <c r="AX7" s="5"/>
      <c r="AY7" s="5"/>
      <c r="AZ7" s="24">
        <f>VLOOKUP(C7,Employees!D:I,6,FALSE)</f>
        <v>210425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7.0833333333333321</v>
      </c>
      <c r="CF7" s="5">
        <f t="shared" si="54"/>
        <v>0.5</v>
      </c>
      <c r="CG7" s="5">
        <f t="shared" si="55"/>
        <v>6.5833333333333321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>
        <f t="shared" si="0"/>
        <v>210486</v>
      </c>
      <c r="B8" s="81" t="s">
        <v>26</v>
      </c>
      <c r="C8" s="102" t="s">
        <v>1329</v>
      </c>
      <c r="D8" s="104"/>
      <c r="E8" s="104"/>
      <c r="F8" s="91">
        <f t="shared" si="15"/>
        <v>0</v>
      </c>
      <c r="G8" s="103">
        <v>0.39583333333333331</v>
      </c>
      <c r="H8" s="105">
        <v>0.63194444444444442</v>
      </c>
      <c r="I8" s="91">
        <f t="shared" si="16"/>
        <v>5.1666666666666661</v>
      </c>
      <c r="J8" s="76"/>
      <c r="K8" s="75"/>
      <c r="L8" s="91">
        <f t="shared" si="17"/>
        <v>0</v>
      </c>
      <c r="M8" s="103">
        <v>0.39583333333333331</v>
      </c>
      <c r="N8" s="105">
        <v>0.69027777777777777</v>
      </c>
      <c r="O8" s="91">
        <f t="shared" si="18"/>
        <v>6.5666666666666664</v>
      </c>
      <c r="P8" s="84"/>
      <c r="Q8" s="84"/>
      <c r="R8" s="91">
        <f t="shared" si="19"/>
        <v>0</v>
      </c>
      <c r="S8" s="104"/>
      <c r="T8" s="104"/>
      <c r="U8" s="91">
        <f t="shared" si="20"/>
        <v>0</v>
      </c>
      <c r="V8" s="104"/>
      <c r="W8" s="104"/>
      <c r="X8" s="91">
        <f t="shared" si="21"/>
        <v>0</v>
      </c>
      <c r="Y8" s="91"/>
      <c r="Z8" s="91"/>
      <c r="AA8" s="91"/>
      <c r="AB8" s="91">
        <f t="shared" si="22"/>
        <v>11.733333333333333</v>
      </c>
      <c r="AC8" s="92"/>
      <c r="AD8" s="78">
        <f>0.5</f>
        <v>0.5</v>
      </c>
      <c r="AE8" s="93">
        <f t="shared" si="1"/>
        <v>12.233333333333333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2</v>
      </c>
      <c r="AQ8" s="77"/>
      <c r="AR8" s="77"/>
      <c r="AS8" s="77"/>
      <c r="AT8" s="44">
        <f t="shared" si="24"/>
        <v>12.233333333333333</v>
      </c>
      <c r="AU8" s="78" t="s">
        <v>1439</v>
      </c>
      <c r="AV8" s="5"/>
      <c r="AW8" s="5"/>
      <c r="AX8" s="5"/>
      <c r="AY8" s="5"/>
      <c r="AZ8" s="24">
        <f>VLOOKUP(C8,Employees!D:I,6,FALSE)</f>
        <v>210486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5.6666666666666661</v>
      </c>
      <c r="BG8" s="5">
        <f t="shared" si="30"/>
        <v>0.5</v>
      </c>
      <c r="BH8" s="5">
        <f t="shared" si="31"/>
        <v>5.1666666666666661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7.0666666666666664</v>
      </c>
      <c r="BQ8" s="5">
        <f t="shared" si="40"/>
        <v>0.5</v>
      </c>
      <c r="BR8" s="5">
        <f t="shared" si="41"/>
        <v>6.5666666666666664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10001</v>
      </c>
      <c r="B9" s="81" t="s">
        <v>26</v>
      </c>
      <c r="C9" s="101" t="s">
        <v>322</v>
      </c>
      <c r="D9" s="105">
        <v>0.58333333333333337</v>
      </c>
      <c r="E9" s="103">
        <v>0.85416666666666663</v>
      </c>
      <c r="F9" s="91">
        <f t="shared" si="15"/>
        <v>5.9999999999999982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75"/>
      <c r="Q9" s="75"/>
      <c r="R9" s="91">
        <f t="shared" si="19"/>
        <v>0</v>
      </c>
      <c r="S9" s="104"/>
      <c r="T9" s="104"/>
      <c r="U9" s="91">
        <f t="shared" si="20"/>
        <v>0</v>
      </c>
      <c r="V9" s="104"/>
      <c r="W9" s="104"/>
      <c r="X9" s="91">
        <f t="shared" si="21"/>
        <v>0</v>
      </c>
      <c r="Y9" s="91"/>
      <c r="Z9" s="91"/>
      <c r="AA9" s="91"/>
      <c r="AB9" s="91">
        <f t="shared" si="22"/>
        <v>5.9999999999999982</v>
      </c>
      <c r="AC9" s="92"/>
      <c r="AD9" s="78"/>
      <c r="AE9" s="93">
        <f t="shared" si="1"/>
        <v>5.9999999999999982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1</v>
      </c>
      <c r="AQ9" s="77"/>
      <c r="AR9" s="77"/>
      <c r="AS9" s="77"/>
      <c r="AT9" s="44">
        <f t="shared" si="24"/>
        <v>5.9999999999999982</v>
      </c>
      <c r="AU9" s="78"/>
      <c r="AV9" s="5"/>
      <c r="AW9" s="5"/>
      <c r="AX9" s="5"/>
      <c r="AY9" s="5"/>
      <c r="AZ9" s="24">
        <f>VLOOKUP(C9,Employees!D:I,6,FALSE)</f>
        <v>10001</v>
      </c>
      <c r="BA9" s="5">
        <f t="shared" si="25"/>
        <v>6.4999999999999982</v>
      </c>
      <c r="BB9" s="5">
        <f t="shared" si="26"/>
        <v>0.5</v>
      </c>
      <c r="BC9" s="5">
        <f t="shared" si="27"/>
        <v>5.9999999999999982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>
        <f t="shared" si="0"/>
        <v>10090</v>
      </c>
      <c r="B10" s="81" t="s">
        <v>26</v>
      </c>
      <c r="C10" s="102" t="s">
        <v>152</v>
      </c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104"/>
      <c r="T10" s="104"/>
      <c r="U10" s="91">
        <f t="shared" si="20"/>
        <v>0</v>
      </c>
      <c r="V10" s="103">
        <v>0.625</v>
      </c>
      <c r="W10" s="105">
        <v>0.96111111111111114</v>
      </c>
      <c r="X10" s="91">
        <f t="shared" si="21"/>
        <v>7.5666666666666664</v>
      </c>
      <c r="Y10" s="91"/>
      <c r="Z10" s="91"/>
      <c r="AA10" s="91"/>
      <c r="AB10" s="91">
        <f t="shared" si="22"/>
        <v>7.5666666666666664</v>
      </c>
      <c r="AC10" s="92"/>
      <c r="AD10" s="78"/>
      <c r="AE10" s="93">
        <f t="shared" si="1"/>
        <v>0</v>
      </c>
      <c r="AF10" s="77"/>
      <c r="AG10" s="93">
        <f t="shared" si="2"/>
        <v>0</v>
      </c>
      <c r="AH10" s="77"/>
      <c r="AI10" s="93">
        <f t="shared" si="3"/>
        <v>7.5666666666666664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1</v>
      </c>
      <c r="AQ10" s="77"/>
      <c r="AR10" s="77"/>
      <c r="AS10" s="77"/>
      <c r="AT10" s="44">
        <f t="shared" si="24"/>
        <v>7.5666666666666664</v>
      </c>
      <c r="AU10" s="78"/>
      <c r="AV10" s="5"/>
      <c r="AW10" s="5"/>
      <c r="AX10" s="5"/>
      <c r="AY10" s="5"/>
      <c r="AZ10" s="24">
        <f>VLOOKUP(C10,Employees!D:I,6,FALSE)</f>
        <v>10090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8.0666666666666664</v>
      </c>
      <c r="CF10" s="5">
        <f t="shared" si="54"/>
        <v>0.5</v>
      </c>
      <c r="CG10" s="5">
        <f t="shared" si="55"/>
        <v>6.4999999999999982</v>
      </c>
      <c r="CH10" s="5">
        <f t="shared" si="56"/>
        <v>1.0666666666666682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210441</v>
      </c>
      <c r="B11" s="81" t="s">
        <v>26</v>
      </c>
      <c r="C11" s="85" t="s">
        <v>1205</v>
      </c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>
        <v>0.53819444444444442</v>
      </c>
      <c r="T11" s="75">
        <v>0.86388888888888893</v>
      </c>
      <c r="U11" s="91">
        <f t="shared" si="20"/>
        <v>7.3166666666666682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7.3166666666666682</v>
      </c>
      <c r="AC11" s="92"/>
      <c r="AD11" s="78"/>
      <c r="AE11" s="93">
        <f t="shared" si="1"/>
        <v>0</v>
      </c>
      <c r="AF11" s="77"/>
      <c r="AG11" s="93">
        <f t="shared" si="2"/>
        <v>7.3166666666666682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1</v>
      </c>
      <c r="AQ11" s="77"/>
      <c r="AR11" s="77"/>
      <c r="AS11" s="77"/>
      <c r="AT11" s="44">
        <f t="shared" si="24"/>
        <v>7.3166666666666682</v>
      </c>
      <c r="AU11" s="78"/>
      <c r="AV11" s="5"/>
      <c r="AW11" s="5"/>
      <c r="AX11" s="5"/>
      <c r="AY11" s="5"/>
      <c r="AZ11" s="24">
        <f>VLOOKUP(C11,Employees!D:I,6,FALSE)</f>
        <v>210441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7.8166666666666682</v>
      </c>
      <c r="CA11" s="5">
        <f t="shared" si="49"/>
        <v>0.5</v>
      </c>
      <c r="CB11" s="5">
        <f t="shared" si="50"/>
        <v>7.3166666666666682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10038</v>
      </c>
      <c r="B12" s="73" t="s">
        <v>26</v>
      </c>
      <c r="C12" s="99" t="s">
        <v>401</v>
      </c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>
        <v>20</v>
      </c>
      <c r="AS12" s="77"/>
      <c r="AT12" s="44">
        <f t="shared" si="24"/>
        <v>20</v>
      </c>
      <c r="AU12" s="78"/>
      <c r="AV12" s="5"/>
      <c r="AW12" s="5"/>
      <c r="AX12" s="5"/>
      <c r="AY12" s="5"/>
      <c r="AZ12" s="24">
        <f>VLOOKUP(C12,Employees!D:I,6,FALSE)</f>
        <v>10038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>
        <f t="shared" si="0"/>
        <v>10243</v>
      </c>
      <c r="B13" s="73" t="s">
        <v>26</v>
      </c>
      <c r="C13" s="98" t="s">
        <v>697</v>
      </c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>
        <v>52</v>
      </c>
      <c r="AS13" s="77"/>
      <c r="AT13" s="44">
        <f t="shared" si="24"/>
        <v>52</v>
      </c>
      <c r="AU13" s="78"/>
      <c r="AV13" s="5"/>
      <c r="AW13" s="5"/>
      <c r="AX13" s="5"/>
      <c r="AY13" s="5"/>
      <c r="AZ13" s="24">
        <f>VLOOKUP(C13,Employees!D:I,6,FALSE)</f>
        <v>10243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>
        <f t="shared" si="0"/>
        <v>10180</v>
      </c>
      <c r="B14" s="73" t="s">
        <v>26</v>
      </c>
      <c r="C14" s="97" t="s">
        <v>543</v>
      </c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>
        <v>38</v>
      </c>
      <c r="AS14" s="77"/>
      <c r="AT14" s="44">
        <f t="shared" si="24"/>
        <v>38</v>
      </c>
      <c r="AU14" s="77"/>
      <c r="AV14" s="5"/>
      <c r="AW14" s="5"/>
      <c r="AX14" s="5"/>
      <c r="AY14" s="5"/>
      <c r="AZ14" s="24">
        <f>VLOOKUP(C14,Employees!D:I,6,FALSE)</f>
        <v>10180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7" operator="equal">
      <formula>"Pub"</formula>
    </cfRule>
  </conditionalFormatting>
  <conditionalFormatting sqref="F2:F100 I2:I100 L2:L100 O2:O100 R2:R100 U2:U100 X2:AB100 AT2:AT100">
    <cfRule type="cellIs" dxfId="18" priority="699" operator="lessThan">
      <formula>0</formula>
    </cfRule>
    <cfRule type="cellIs" dxfId="17" priority="700" operator="between">
      <formula>3</formula>
      <formula>0.01</formula>
    </cfRule>
    <cfRule type="cellIs" dxfId="16" priority="772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3">
      <formula>LEN(TRIM(AF2))&gt;0</formula>
    </cfRule>
  </conditionalFormatting>
  <conditionalFormatting sqref="AH2:AH100">
    <cfRule type="notContainsBlanks" dxfId="13" priority="3">
      <formula>LEN(TRIM(AH2))&gt;0</formula>
    </cfRule>
  </conditionalFormatting>
  <conditionalFormatting sqref="AT1">
    <cfRule type="cellIs" dxfId="12" priority="692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0" sqref="C10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10156</v>
      </c>
      <c r="B2" s="81" t="s">
        <v>26</v>
      </c>
      <c r="C2" s="100" t="s">
        <v>1436</v>
      </c>
      <c r="D2" s="75">
        <v>0.54166666666666663</v>
      </c>
      <c r="E2" s="75">
        <v>0.93194444444444446</v>
      </c>
      <c r="F2" s="91">
        <f>BA2-BB2</f>
        <v>8.3666666666666671</v>
      </c>
      <c r="G2" s="75"/>
      <c r="H2" s="76"/>
      <c r="I2" s="91">
        <f>BF2-BG2</f>
        <v>0</v>
      </c>
      <c r="J2" s="108">
        <v>0.41180555555555554</v>
      </c>
      <c r="K2" s="76">
        <v>0.75347222222222221</v>
      </c>
      <c r="L2" s="91">
        <f>BK2-BL2</f>
        <v>7.6999999999999993</v>
      </c>
      <c r="M2" s="75">
        <v>0.52083333333333337</v>
      </c>
      <c r="N2" s="76">
        <v>0.78125</v>
      </c>
      <c r="O2" s="91">
        <f>BP2-BQ2</f>
        <v>5.7499999999999991</v>
      </c>
      <c r="P2" s="75">
        <v>0.41666666666666669</v>
      </c>
      <c r="Q2" s="76">
        <v>0.73263888888888884</v>
      </c>
      <c r="R2" s="91">
        <f>BU2-BV2</f>
        <v>7.0833333333333321</v>
      </c>
      <c r="S2" s="75"/>
      <c r="T2" s="75"/>
      <c r="U2" s="91">
        <f>BZ2-CA2</f>
        <v>0</v>
      </c>
      <c r="V2" s="75">
        <v>0.40972222222222221</v>
      </c>
      <c r="W2" s="75">
        <v>0.75</v>
      </c>
      <c r="X2" s="91">
        <f>CE2-CF2</f>
        <v>7.6666666666666679</v>
      </c>
      <c r="Y2" s="91"/>
      <c r="Z2" s="91"/>
      <c r="AA2" s="91"/>
      <c r="AB2" s="95">
        <f>SUM(F2,I2,L2,O2,R2,U2,X2)</f>
        <v>36.566666666666663</v>
      </c>
      <c r="AC2" s="92"/>
      <c r="AD2" s="78">
        <f>2.5</f>
        <v>2.5</v>
      </c>
      <c r="AE2" s="93">
        <f>SUMIF($BC$1:$CI$1,AE$1,$BC2:$CI2)+AD2</f>
        <v>31.033333333333331</v>
      </c>
      <c r="AF2" s="78"/>
      <c r="AG2" s="93">
        <f>SUMIF($BC$1:$CI$1,AG$1,$BC2:$CI2)+AF2</f>
        <v>0</v>
      </c>
      <c r="AH2" s="78"/>
      <c r="AI2" s="93">
        <f>SUMIF($BC$1:$CI$1,AI$1,$BC2:$CI2)+AH2</f>
        <v>7.6666666666666679</v>
      </c>
      <c r="AJ2" s="77"/>
      <c r="AK2" s="93">
        <f>SUMIF($BC$1:$CI$1,AK$1,$BC2:$CI2)+AJ2</f>
        <v>0</v>
      </c>
      <c r="AL2" s="78"/>
      <c r="AM2" s="93">
        <f>SUMIF($BC$1:$CI$1,AM$1,$BC2:$CI2)+AL2</f>
        <v>0.36666666666666803</v>
      </c>
      <c r="AN2" s="77"/>
      <c r="AO2" s="93">
        <f>SUMIF($BC$1:$CI$1,AO$1,$BC2:$CI2)+AN2</f>
        <v>0</v>
      </c>
      <c r="AP2" s="94">
        <f>CK2</f>
        <v>5</v>
      </c>
      <c r="AQ2" s="77"/>
      <c r="AR2" s="77"/>
      <c r="AS2" s="77"/>
      <c r="AT2" s="63">
        <f>AE2+AG2+AI2+AK2+AM2+AO2+SUM(AQ2:AS2)</f>
        <v>39.06666666666667</v>
      </c>
      <c r="AU2" s="78" t="s">
        <v>1441</v>
      </c>
      <c r="AV2" s="5"/>
      <c r="AW2" s="5"/>
      <c r="AX2" s="5"/>
      <c r="AY2" s="5"/>
      <c r="AZ2" s="24">
        <f>VLOOKUP(C2,Employees!D:I,6,FALSE)</f>
        <v>10156</v>
      </c>
      <c r="BA2" s="5">
        <f>IF(ISBLANK(D2),0,(E2-D2)*24)</f>
        <v>9.3666666666666671</v>
      </c>
      <c r="BB2" s="5">
        <f>IF(BA2&gt;$AY$1,1,IF(BA2&gt;=$AX$1,0.5,0))</f>
        <v>1</v>
      </c>
      <c r="BC2" s="5">
        <f>BA2-BB2-BD2-BE2</f>
        <v>7.9999999999999991</v>
      </c>
      <c r="BD2" s="5">
        <f>IF(AND(E2&gt;$AV$1, D2&lt;$AW$1),(MIN(E2,$AW$1)-MAX(D2,$AV$1))*24,0)</f>
        <v>0.36666666666666803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8.1999999999999993</v>
      </c>
      <c r="BL2" s="5">
        <f>IF(BK2&gt;$AY$1,1,IF(BK2&gt;=$AX$1,0.5,0))</f>
        <v>0.5</v>
      </c>
      <c r="BM2" s="5">
        <f>BK2-BL2-BN2-BO2</f>
        <v>7.6999999999999993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6.2499999999999991</v>
      </c>
      <c r="BQ2" s="5">
        <f>IF(BP2&gt;$AY$1,1,IF(BP2&gt;=$AX$1,0.5,0))</f>
        <v>0.5</v>
      </c>
      <c r="BR2" s="5">
        <f>BP2-BQ2-BS2-BT2</f>
        <v>5.7499999999999991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7.5833333333333321</v>
      </c>
      <c r="BV2" s="5">
        <f>IF(BU2&gt;$AY$1,1,IF(BU2&gt;=$AX$1,0.5,0))</f>
        <v>0.5</v>
      </c>
      <c r="BW2" s="5">
        <f>BU2-BV2-BX2-BY2</f>
        <v>7.0833333333333321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8.1666666666666679</v>
      </c>
      <c r="CF2" s="5">
        <f>IF(CE2&gt;$AY$1,1,IF(CE2&gt;=$AX$1,0.5,0))</f>
        <v>0.5</v>
      </c>
      <c r="CG2" s="5">
        <f>CE2-CF2-CH2-CI2</f>
        <v>7.6666666666666679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4">
        <f t="shared" si="0"/>
        <v>10180</v>
      </c>
      <c r="B3" s="81" t="s">
        <v>26</v>
      </c>
      <c r="C3" s="100" t="s">
        <v>543</v>
      </c>
      <c r="D3" s="75"/>
      <c r="E3" s="75"/>
      <c r="F3" s="91">
        <f t="shared" ref="F3:F74" si="9">BA3-BB3</f>
        <v>0</v>
      </c>
      <c r="G3" s="75">
        <v>0.53611111111111109</v>
      </c>
      <c r="H3" s="76">
        <v>0.75</v>
      </c>
      <c r="I3" s="91">
        <f t="shared" ref="I3:I74" si="10">BF3-BG3</f>
        <v>5.1333333333333337</v>
      </c>
      <c r="J3" s="75">
        <v>0.54166666666666663</v>
      </c>
      <c r="K3" s="75">
        <v>0.96527777777777779</v>
      </c>
      <c r="L3" s="91">
        <f t="shared" ref="L3:L74" si="11">BK3-BL3</f>
        <v>9.1666666666666679</v>
      </c>
      <c r="M3" s="75"/>
      <c r="N3" s="75"/>
      <c r="O3" s="91">
        <f t="shared" ref="O3:O74" si="12">BP3-BQ3</f>
        <v>0</v>
      </c>
      <c r="P3" s="84"/>
      <c r="Q3" s="84"/>
      <c r="R3" s="91">
        <f t="shared" ref="R3:R74" si="13">BU3-BV3</f>
        <v>0</v>
      </c>
      <c r="S3" s="75">
        <v>0.41666666666666669</v>
      </c>
      <c r="T3" s="75">
        <v>0.7104166666666667</v>
      </c>
      <c r="U3" s="91">
        <f t="shared" ref="U3:U74" si="14">BZ3-CA3</f>
        <v>6.5500000000000007</v>
      </c>
      <c r="V3" s="75">
        <v>0.5625</v>
      </c>
      <c r="W3" s="75">
        <v>0.85416666666666663</v>
      </c>
      <c r="X3" s="91">
        <f t="shared" ref="X3:X74" si="15">CE3-CF3</f>
        <v>6.4999999999999991</v>
      </c>
      <c r="Y3" s="91"/>
      <c r="Z3" s="91"/>
      <c r="AA3" s="91"/>
      <c r="AB3" s="95">
        <f t="shared" ref="AB3:AB74" si="16">SUM(F3,I3,L3,O3,R3,U3,X3)</f>
        <v>27.35</v>
      </c>
      <c r="AC3" s="92"/>
      <c r="AD3" s="78"/>
      <c r="AE3" s="93">
        <f t="shared" ref="AE3:AE74" si="17">SUMIF($BC$1:$CI$1,AE$1,$BC3:$CI3)+AD3</f>
        <v>13.133333333333333</v>
      </c>
      <c r="AF3" s="78"/>
      <c r="AG3" s="93">
        <f t="shared" ref="AG3:AG74" si="18">SUMIF($BC$1:$CI$1,AG$1,$BC3:$CI3)+AF3</f>
        <v>6.5500000000000007</v>
      </c>
      <c r="AH3" s="78"/>
      <c r="AI3" s="93">
        <f t="shared" ref="AI3:AI74" si="19">SUMIF($BC$1:$CI$1,AI$1,$BC3:$CI3)+AH3</f>
        <v>6.4999999999999991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1.1666666666666679</v>
      </c>
      <c r="AN3" s="77"/>
      <c r="AO3" s="93">
        <f t="shared" ref="AO3:AO74" si="22">SUMIF($BC$1:$CI$1,AO$1,$BC3:$CI3)+AN3</f>
        <v>0</v>
      </c>
      <c r="AP3" s="94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27.35</v>
      </c>
      <c r="AU3" s="78"/>
      <c r="AV3" s="5"/>
      <c r="AW3" s="5"/>
      <c r="AX3" s="5"/>
      <c r="AY3" s="5"/>
      <c r="AZ3" s="24">
        <f>VLOOKUP(C3,Employees!D:I,6,FALSE)</f>
        <v>10180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5.1333333333333337</v>
      </c>
      <c r="BG3" s="5">
        <f t="shared" ref="BG3:BG66" si="31">IF(BF3&gt;$AY$1,1,IF(BF3&gt;=$AX$1,0.5,0))</f>
        <v>0</v>
      </c>
      <c r="BH3" s="5">
        <f t="shared" ref="BH3:BH66" si="32">BF3-BG3-BI3-BJ3</f>
        <v>5.1333333333333337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10.166666666666668</v>
      </c>
      <c r="BL3" s="5">
        <f t="shared" ref="BL3:BL66" si="36">IF(BK3&gt;$AY$1,1,IF(BK3&gt;=$AX$1,0.5,0))</f>
        <v>1</v>
      </c>
      <c r="BM3" s="5">
        <f t="shared" ref="BM3:BM66" si="37">BK3-BL3-BN3-BO3</f>
        <v>8</v>
      </c>
      <c r="BN3" s="5">
        <f t="shared" ref="BN3:BN66" si="38">IF(AND(K3&gt;$AV$1, J3&lt;$AW$1),(MIN(K3,$AW$1)-MAX(J3,$AV$1))*24,0)</f>
        <v>1.1666666666666679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7.0500000000000007</v>
      </c>
      <c r="CA3" s="5">
        <f t="shared" ref="CA3:CA66" si="51">IF(BZ3&gt;$AY$1,1,IF(BZ3&gt;=$AX$1,0.5,0))</f>
        <v>0.5</v>
      </c>
      <c r="CB3" s="5">
        <f t="shared" ref="CB3:CB66" si="52">BZ3-CA3-CC3-CD3</f>
        <v>6.5500000000000007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6.9999999999999991</v>
      </c>
      <c r="CF3" s="5">
        <f t="shared" ref="CF3:CF66" si="56">IF(CE3&gt;$AY$1,1,IF(CE3&gt;=$AX$1,0.5,0))</f>
        <v>0.5</v>
      </c>
      <c r="CG3" s="5">
        <f t="shared" ref="CG3:CG66" si="57">CE3-CF3-CH3-CI3</f>
        <v>6.4999999999999991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10365</v>
      </c>
      <c r="B4" s="81" t="s">
        <v>26</v>
      </c>
      <c r="C4" s="101" t="s">
        <v>1009</v>
      </c>
      <c r="D4" s="75">
        <v>0.6479166666666667</v>
      </c>
      <c r="E4" s="75">
        <v>0.93125000000000002</v>
      </c>
      <c r="F4" s="91">
        <f t="shared" si="9"/>
        <v>6.3</v>
      </c>
      <c r="G4" s="75"/>
      <c r="H4" s="75"/>
      <c r="I4" s="91">
        <f t="shared" si="10"/>
        <v>0</v>
      </c>
      <c r="J4" s="75">
        <v>0.625</v>
      </c>
      <c r="K4" s="75">
        <v>0.96527777777777779</v>
      </c>
      <c r="L4" s="91">
        <f t="shared" si="11"/>
        <v>7.6666666666666679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>
        <v>0.5625</v>
      </c>
      <c r="T4" s="75">
        <v>0.96875</v>
      </c>
      <c r="U4" s="91">
        <f t="shared" si="14"/>
        <v>8.75</v>
      </c>
      <c r="V4" s="75">
        <v>0.75</v>
      </c>
      <c r="W4" s="75">
        <v>0.96458333333333335</v>
      </c>
      <c r="X4" s="91">
        <f t="shared" si="15"/>
        <v>5.15</v>
      </c>
      <c r="Y4" s="91"/>
      <c r="Z4" s="91"/>
      <c r="AA4" s="91"/>
      <c r="AB4" s="95">
        <f t="shared" si="16"/>
        <v>27.866666666666667</v>
      </c>
      <c r="AC4" s="92"/>
      <c r="AD4" s="78"/>
      <c r="AE4" s="93">
        <f t="shared" si="17"/>
        <v>12.45</v>
      </c>
      <c r="AF4" s="78"/>
      <c r="AG4" s="93">
        <f t="shared" si="18"/>
        <v>8.75</v>
      </c>
      <c r="AH4" s="78"/>
      <c r="AI4" s="93">
        <f t="shared" si="19"/>
        <v>5.15</v>
      </c>
      <c r="AJ4" s="77"/>
      <c r="AK4" s="93">
        <f t="shared" si="20"/>
        <v>0</v>
      </c>
      <c r="AL4" s="78"/>
      <c r="AM4" s="93">
        <f t="shared" si="21"/>
        <v>1.5166666666666693</v>
      </c>
      <c r="AN4" s="77"/>
      <c r="AO4" s="93">
        <f t="shared" si="22"/>
        <v>0</v>
      </c>
      <c r="AP4" s="94">
        <f t="shared" si="23"/>
        <v>4</v>
      </c>
      <c r="AQ4" s="77"/>
      <c r="AR4" s="77"/>
      <c r="AS4" s="77"/>
      <c r="AT4" s="63">
        <f t="shared" si="24"/>
        <v>27.866666666666671</v>
      </c>
      <c r="AU4" s="78"/>
      <c r="AV4" s="5"/>
      <c r="AW4" s="5"/>
      <c r="AX4" s="5"/>
      <c r="AY4" s="5"/>
      <c r="AZ4" s="24">
        <f>VLOOKUP(C4,Employees!D:I,6,FALSE)</f>
        <v>10365</v>
      </c>
      <c r="BA4" s="5">
        <f t="shared" si="25"/>
        <v>6.8</v>
      </c>
      <c r="BB4" s="5">
        <f t="shared" si="26"/>
        <v>0.5</v>
      </c>
      <c r="BC4" s="5">
        <f t="shared" si="27"/>
        <v>5.9499999999999984</v>
      </c>
      <c r="BD4" s="5">
        <f t="shared" si="28"/>
        <v>0.35000000000000142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8.1666666666666679</v>
      </c>
      <c r="BL4" s="5">
        <f t="shared" si="36"/>
        <v>0.5</v>
      </c>
      <c r="BM4" s="5">
        <f t="shared" si="37"/>
        <v>6.5</v>
      </c>
      <c r="BN4" s="5">
        <f t="shared" si="38"/>
        <v>1.1666666666666679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9.75</v>
      </c>
      <c r="CA4" s="5">
        <f t="shared" si="51"/>
        <v>1</v>
      </c>
      <c r="CB4" s="5">
        <f t="shared" si="52"/>
        <v>7.4999999999999991</v>
      </c>
      <c r="CC4" s="5">
        <f t="shared" si="53"/>
        <v>1.2500000000000009</v>
      </c>
      <c r="CD4" s="5">
        <f t="shared" si="54"/>
        <v>0</v>
      </c>
      <c r="CE4" s="5">
        <f t="shared" si="55"/>
        <v>5.15</v>
      </c>
      <c r="CF4" s="5">
        <f t="shared" si="56"/>
        <v>0</v>
      </c>
      <c r="CG4" s="5">
        <f t="shared" si="57"/>
        <v>3.9999999999999991</v>
      </c>
      <c r="CH4" s="5">
        <f t="shared" si="58"/>
        <v>1.1500000000000012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>
        <f t="shared" si="0"/>
        <v>10378</v>
      </c>
      <c r="B5" s="81" t="s">
        <v>26</v>
      </c>
      <c r="C5" s="101" t="s">
        <v>1039</v>
      </c>
      <c r="D5" s="76"/>
      <c r="E5" s="75"/>
      <c r="F5" s="91">
        <f t="shared" si="9"/>
        <v>0</v>
      </c>
      <c r="G5" s="75">
        <v>0.75</v>
      </c>
      <c r="H5" s="76">
        <v>0.98472222222222228</v>
      </c>
      <c r="I5" s="91">
        <f t="shared" si="10"/>
        <v>5.1333333333333346</v>
      </c>
      <c r="J5" s="76"/>
      <c r="K5" s="76"/>
      <c r="L5" s="91">
        <f t="shared" si="11"/>
        <v>0</v>
      </c>
      <c r="M5" s="75">
        <v>0.70208333333333328</v>
      </c>
      <c r="N5" s="75">
        <v>0.97222222222222221</v>
      </c>
      <c r="O5" s="91">
        <f t="shared" si="12"/>
        <v>5.9833333333333343</v>
      </c>
      <c r="P5" s="75">
        <v>0.55902777777777779</v>
      </c>
      <c r="Q5" s="75">
        <v>0.96597222222222223</v>
      </c>
      <c r="R5" s="91">
        <f t="shared" si="13"/>
        <v>8.7666666666666657</v>
      </c>
      <c r="S5" s="75">
        <v>0.52083333333333337</v>
      </c>
      <c r="T5" s="75">
        <v>0.85416666666666663</v>
      </c>
      <c r="U5" s="91">
        <f t="shared" si="14"/>
        <v>7.4999999999999982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27.383333333333333</v>
      </c>
      <c r="AC5" s="92"/>
      <c r="AD5" s="78">
        <f>1.5</f>
        <v>1.5</v>
      </c>
      <c r="AE5" s="93">
        <f t="shared" si="17"/>
        <v>17.233333333333331</v>
      </c>
      <c r="AF5" s="78"/>
      <c r="AG5" s="93">
        <f t="shared" si="18"/>
        <v>7.4999999999999982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4.1500000000000039</v>
      </c>
      <c r="AN5" s="77"/>
      <c r="AO5" s="93">
        <f t="shared" si="22"/>
        <v>0</v>
      </c>
      <c r="AP5" s="94">
        <f t="shared" si="23"/>
        <v>4</v>
      </c>
      <c r="AQ5" s="77"/>
      <c r="AR5" s="77"/>
      <c r="AS5" s="77"/>
      <c r="AT5" s="63">
        <f t="shared" si="24"/>
        <v>28.883333333333333</v>
      </c>
      <c r="AU5" s="78" t="s">
        <v>1442</v>
      </c>
      <c r="AV5" s="5"/>
      <c r="AW5" s="5"/>
      <c r="AX5" s="5"/>
      <c r="AY5" s="5"/>
      <c r="AZ5" s="24">
        <f>VLOOKUP(C5,Employees!D:I,6,FALSE)</f>
        <v>10378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5.6333333333333346</v>
      </c>
      <c r="BG5" s="5">
        <f t="shared" si="31"/>
        <v>0.5</v>
      </c>
      <c r="BH5" s="5">
        <f t="shared" si="32"/>
        <v>3.4999999999999991</v>
      </c>
      <c r="BI5" s="5">
        <f t="shared" si="33"/>
        <v>1.6333333333333355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6.4833333333333343</v>
      </c>
      <c r="BQ5" s="5">
        <f t="shared" si="41"/>
        <v>0.5</v>
      </c>
      <c r="BR5" s="5">
        <f t="shared" si="42"/>
        <v>4.6500000000000004</v>
      </c>
      <c r="BS5" s="5">
        <f t="shared" si="43"/>
        <v>1.3333333333333339</v>
      </c>
      <c r="BT5" s="5">
        <f t="shared" si="44"/>
        <v>0</v>
      </c>
      <c r="BU5" s="5">
        <f t="shared" si="45"/>
        <v>9.7666666666666657</v>
      </c>
      <c r="BV5" s="5">
        <f t="shared" si="46"/>
        <v>1</v>
      </c>
      <c r="BW5" s="5">
        <f t="shared" si="47"/>
        <v>7.5833333333333313</v>
      </c>
      <c r="BX5" s="5">
        <f t="shared" si="48"/>
        <v>1.1833333333333345</v>
      </c>
      <c r="BY5" s="5">
        <f t="shared" si="49"/>
        <v>0</v>
      </c>
      <c r="BZ5" s="5">
        <f t="shared" si="50"/>
        <v>7.9999999999999982</v>
      </c>
      <c r="CA5" s="5">
        <f t="shared" si="51"/>
        <v>0.5</v>
      </c>
      <c r="CB5" s="5">
        <f t="shared" si="52"/>
        <v>7.4999999999999982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4</v>
      </c>
    </row>
    <row r="6" spans="1:89" ht="47" customHeight="1">
      <c r="A6" s="74">
        <f t="shared" si="0"/>
        <v>210419</v>
      </c>
      <c r="B6" s="81" t="s">
        <v>26</v>
      </c>
      <c r="C6" s="101" t="s">
        <v>1150</v>
      </c>
      <c r="D6" s="76"/>
      <c r="E6" s="75"/>
      <c r="F6" s="91">
        <f t="shared" si="9"/>
        <v>0</v>
      </c>
      <c r="G6" s="75"/>
      <c r="H6" s="76"/>
      <c r="I6" s="91">
        <f t="shared" si="10"/>
        <v>0</v>
      </c>
      <c r="J6" s="76"/>
      <c r="K6" s="76"/>
      <c r="L6" s="91">
        <f t="shared" si="11"/>
        <v>0</v>
      </c>
      <c r="M6" s="76"/>
      <c r="N6" s="76"/>
      <c r="O6" s="91">
        <f t="shared" si="12"/>
        <v>0</v>
      </c>
      <c r="P6" s="76">
        <v>0.70833333333333337</v>
      </c>
      <c r="Q6" s="75">
        <v>0.96527777777777779</v>
      </c>
      <c r="R6" s="91">
        <f t="shared" si="13"/>
        <v>5.6666666666666661</v>
      </c>
      <c r="S6" s="75"/>
      <c r="T6" s="75"/>
      <c r="U6" s="91">
        <f t="shared" si="14"/>
        <v>0</v>
      </c>
      <c r="V6" s="75">
        <v>0.66666666666666663</v>
      </c>
      <c r="W6" s="76">
        <v>0.96527777777777779</v>
      </c>
      <c r="X6" s="91">
        <f t="shared" si="15"/>
        <v>6.6666666666666679</v>
      </c>
      <c r="Y6" s="91"/>
      <c r="Z6" s="91"/>
      <c r="AA6" s="91"/>
      <c r="AB6" s="95">
        <f t="shared" si="16"/>
        <v>12.333333333333334</v>
      </c>
      <c r="AC6" s="92"/>
      <c r="AD6" s="78"/>
      <c r="AE6" s="93">
        <f t="shared" si="17"/>
        <v>4.4999999999999982</v>
      </c>
      <c r="AF6" s="78"/>
      <c r="AG6" s="93">
        <f t="shared" si="18"/>
        <v>0</v>
      </c>
      <c r="AH6" s="78"/>
      <c r="AI6" s="93">
        <f t="shared" si="19"/>
        <v>6.6666666666666679</v>
      </c>
      <c r="AJ6" s="77"/>
      <c r="AK6" s="93">
        <f t="shared" si="20"/>
        <v>0</v>
      </c>
      <c r="AL6" s="78"/>
      <c r="AM6" s="93">
        <f t="shared" si="21"/>
        <v>1.1666666666666679</v>
      </c>
      <c r="AN6" s="77"/>
      <c r="AO6" s="93">
        <f t="shared" si="22"/>
        <v>0</v>
      </c>
      <c r="AP6" s="94">
        <f t="shared" si="23"/>
        <v>2</v>
      </c>
      <c r="AQ6" s="77"/>
      <c r="AR6" s="77"/>
      <c r="AS6" s="77"/>
      <c r="AT6" s="63">
        <f t="shared" si="24"/>
        <v>12.333333333333334</v>
      </c>
      <c r="AU6" s="78"/>
      <c r="AV6" s="5"/>
      <c r="AW6" s="5"/>
      <c r="AX6" s="5"/>
      <c r="AY6" s="5"/>
      <c r="AZ6" s="24">
        <f>VLOOKUP(C6,Employees!D:I,6,FALSE)</f>
        <v>210419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6.1666666666666661</v>
      </c>
      <c r="BV6" s="5">
        <f t="shared" si="46"/>
        <v>0.5</v>
      </c>
      <c r="BW6" s="5">
        <f t="shared" si="47"/>
        <v>4.4999999999999982</v>
      </c>
      <c r="BX6" s="5">
        <f t="shared" si="48"/>
        <v>1.1666666666666679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7.1666666666666679</v>
      </c>
      <c r="CF6" s="5">
        <f t="shared" si="56"/>
        <v>0.5</v>
      </c>
      <c r="CG6" s="5">
        <f t="shared" si="57"/>
        <v>5.5</v>
      </c>
      <c r="CH6" s="5">
        <f t="shared" si="58"/>
        <v>1.1666666666666679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10243</v>
      </c>
      <c r="B7" s="81" t="s">
        <v>26</v>
      </c>
      <c r="C7" s="101" t="s">
        <v>697</v>
      </c>
      <c r="D7" s="76"/>
      <c r="E7" s="76"/>
      <c r="F7" s="91">
        <f t="shared" si="9"/>
        <v>0</v>
      </c>
      <c r="G7" s="107">
        <v>0.625</v>
      </c>
      <c r="H7" s="76">
        <v>0.91666666666666663</v>
      </c>
      <c r="I7" s="91">
        <f t="shared" si="10"/>
        <v>6.4999999999999991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/>
      <c r="Q7" s="75"/>
      <c r="R7" s="91">
        <f t="shared" si="13"/>
        <v>0</v>
      </c>
      <c r="S7" s="75">
        <v>0.64583333333333337</v>
      </c>
      <c r="T7" s="75">
        <v>0.96875</v>
      </c>
      <c r="U7" s="91">
        <f t="shared" si="14"/>
        <v>7.2499999999999991</v>
      </c>
      <c r="V7" s="75"/>
      <c r="W7" s="75"/>
      <c r="X7" s="91">
        <f t="shared" si="15"/>
        <v>0</v>
      </c>
      <c r="Y7" s="91"/>
      <c r="Z7" s="91"/>
      <c r="AA7" s="91"/>
      <c r="AB7" s="95">
        <f t="shared" si="16"/>
        <v>13.749999999999998</v>
      </c>
      <c r="AC7" s="92"/>
      <c r="AD7" s="78"/>
      <c r="AE7" s="93">
        <f t="shared" si="17"/>
        <v>6.4999999999999991</v>
      </c>
      <c r="AF7" s="77"/>
      <c r="AG7" s="93">
        <f t="shared" si="18"/>
        <v>7.2499999999999991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2</v>
      </c>
      <c r="AQ7" s="77"/>
      <c r="AR7" s="77"/>
      <c r="AS7" s="77"/>
      <c r="AT7" s="63">
        <f t="shared" si="24"/>
        <v>13.749999999999998</v>
      </c>
      <c r="AU7" s="78"/>
      <c r="AV7" s="5"/>
      <c r="AW7" s="5"/>
      <c r="AX7" s="5"/>
      <c r="AY7" s="5"/>
      <c r="AZ7" s="24">
        <f>VLOOKUP(C7,Employees!D:I,6,FALSE)</f>
        <v>10243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6.9999999999999991</v>
      </c>
      <c r="BG7" s="5">
        <f t="shared" si="31"/>
        <v>0.5</v>
      </c>
      <c r="BH7" s="5">
        <f t="shared" si="32"/>
        <v>6.4999999999999991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7.7499999999999991</v>
      </c>
      <c r="CA7" s="5">
        <f t="shared" si="51"/>
        <v>0.5</v>
      </c>
      <c r="CB7" s="5">
        <f t="shared" si="52"/>
        <v>5.9999999999999982</v>
      </c>
      <c r="CC7" s="5">
        <f t="shared" si="53"/>
        <v>1.2500000000000009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>
        <f t="shared" si="0"/>
        <v>210486</v>
      </c>
      <c r="B8" s="81" t="s">
        <v>26</v>
      </c>
      <c r="C8" s="102" t="s">
        <v>1329</v>
      </c>
      <c r="D8" s="76">
        <v>0.41666666666666669</v>
      </c>
      <c r="E8" s="76">
        <v>0.62777777777777777</v>
      </c>
      <c r="F8" s="91">
        <f t="shared" si="9"/>
        <v>5.0666666666666664</v>
      </c>
      <c r="G8" s="76">
        <v>0.41666666666666669</v>
      </c>
      <c r="H8" s="76">
        <v>0.625</v>
      </c>
      <c r="I8" s="91">
        <f t="shared" si="10"/>
        <v>5</v>
      </c>
      <c r="J8" s="76"/>
      <c r="K8" s="75"/>
      <c r="L8" s="91">
        <f t="shared" si="11"/>
        <v>0</v>
      </c>
      <c r="M8" s="76">
        <v>0.41666666666666669</v>
      </c>
      <c r="N8" s="76">
        <v>0.75</v>
      </c>
      <c r="O8" s="91">
        <f t="shared" si="12"/>
        <v>7.5</v>
      </c>
      <c r="P8" s="76"/>
      <c r="Q8" s="76"/>
      <c r="R8" s="91">
        <f t="shared" si="13"/>
        <v>0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17.566666666666666</v>
      </c>
      <c r="AC8" s="92"/>
      <c r="AD8" s="78">
        <v>0.5</v>
      </c>
      <c r="AE8" s="93">
        <f t="shared" si="17"/>
        <v>18.066666666666666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3</v>
      </c>
      <c r="AQ8" s="77"/>
      <c r="AR8" s="77"/>
      <c r="AS8" s="77"/>
      <c r="AT8" s="63">
        <f t="shared" si="24"/>
        <v>18.066666666666666</v>
      </c>
      <c r="AU8" s="78" t="s">
        <v>1443</v>
      </c>
      <c r="AV8" s="5"/>
      <c r="AW8" s="5"/>
      <c r="AX8" s="5"/>
      <c r="AY8" s="5"/>
      <c r="AZ8" s="24">
        <f>VLOOKUP(C8,Employees!D:I,6,FALSE)</f>
        <v>210486</v>
      </c>
      <c r="BA8" s="5">
        <f t="shared" si="25"/>
        <v>5.0666666666666664</v>
      </c>
      <c r="BB8" s="5">
        <f t="shared" si="26"/>
        <v>0</v>
      </c>
      <c r="BC8" s="5">
        <f t="shared" si="27"/>
        <v>5.0666666666666664</v>
      </c>
      <c r="BD8" s="5">
        <f t="shared" si="28"/>
        <v>0</v>
      </c>
      <c r="BE8" s="5">
        <f t="shared" si="29"/>
        <v>0</v>
      </c>
      <c r="BF8" s="5">
        <f t="shared" si="30"/>
        <v>5</v>
      </c>
      <c r="BG8" s="5">
        <f t="shared" si="31"/>
        <v>0</v>
      </c>
      <c r="BH8" s="5">
        <f t="shared" si="32"/>
        <v>5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8</v>
      </c>
      <c r="BQ8" s="5">
        <f t="shared" si="41"/>
        <v>0.5</v>
      </c>
      <c r="BR8" s="5">
        <f t="shared" si="42"/>
        <v>7.5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10090</v>
      </c>
      <c r="B9" s="81" t="s">
        <v>26</v>
      </c>
      <c r="C9" s="102" t="s">
        <v>152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>
        <f>VLOOKUP(C9,Employees!D:I,6,FALSE)</f>
        <v>10090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>
        <f t="shared" si="0"/>
        <v>10037</v>
      </c>
      <c r="B10" s="81" t="s">
        <v>26</v>
      </c>
      <c r="C10" s="85" t="s">
        <v>913</v>
      </c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>
        <v>0.52083333333333337</v>
      </c>
      <c r="W10" s="76">
        <v>0.72916666666666663</v>
      </c>
      <c r="X10" s="91">
        <f t="shared" si="15"/>
        <v>4.9999999999999982</v>
      </c>
      <c r="Y10" s="91"/>
      <c r="Z10" s="91"/>
      <c r="AA10" s="91"/>
      <c r="AB10" s="95">
        <f t="shared" si="16"/>
        <v>4.9999999999999982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4.9999999999999982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1</v>
      </c>
      <c r="AQ10" s="77"/>
      <c r="AR10" s="77"/>
      <c r="AS10" s="77"/>
      <c r="AT10" s="63">
        <f t="shared" si="24"/>
        <v>4.9999999999999982</v>
      </c>
      <c r="AU10" s="78"/>
      <c r="AV10" s="5"/>
      <c r="AW10" s="5"/>
      <c r="AX10" s="5"/>
      <c r="AY10" s="5"/>
      <c r="AZ10" s="24">
        <f>VLOOKUP(C10,Employees!D:I,6,FALSE)</f>
        <v>10037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4.9999999999999982</v>
      </c>
      <c r="CF10" s="5">
        <f t="shared" si="56"/>
        <v>0</v>
      </c>
      <c r="CG10" s="5">
        <f t="shared" si="57"/>
        <v>4.9999999999999982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H1" zoomScale="120" zoomScaleNormal="120" workbookViewId="0">
      <selection activeCell="Y3" sqref="Y3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10156</v>
      </c>
      <c r="B2" s="28">
        <f ca="1">IF(A2=0,"",_xlfn.NUMBERVALUE(A2))</f>
        <v>10156</v>
      </c>
      <c r="C2" s="28" t="str">
        <f ca="1">IF($A2=0,"",VLOOKUP($B2,Employees!$A:$G,2,FALSE))</f>
        <v>Chau Kim</v>
      </c>
      <c r="D2" s="28" t="str">
        <f ca="1">IF($A2=0,"",VLOOKUP($B2,Employees!$A:$G,3,FALSE))</f>
        <v>Quach</v>
      </c>
      <c r="E2" s="26">
        <f ca="1">IF($A2=0,"",VLOOKUP($B2,Employees!$A:$G,5,FALSE))</f>
        <v>34555</v>
      </c>
      <c r="F2" s="13">
        <f ca="1">IF($E2="","",ROUNDDOWN(YEARFRAC($E2, 'Week 1 Roster'!$D$1-1, 1), 0))</f>
        <v>31</v>
      </c>
      <c r="G2" s="13">
        <f ca="1">IF($E2="","",ROUNDDOWN(YEARFRAC($E2, 'Week 1 Roster'!$D$1+14, 1), 0))</f>
        <v>31</v>
      </c>
      <c r="H2" s="13" t="b">
        <f ca="1">IF($E2="","",IF(AND(F2&lt;21,F2&lt;&gt;G2),TRUE,FALSE))</f>
        <v>0</v>
      </c>
      <c r="I2" s="13">
        <f ca="1">IF($A2=0,"",VLOOKUP($B2,Employees!$A:$G,6,FALSE))</f>
        <v>4880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MC</v>
      </c>
      <c r="L2" s="13" t="str">
        <f ca="1">IF($A2=0,"",VLOOKUP(K2,Stores!A:B,2,0))</f>
        <v>Superb</v>
      </c>
      <c r="M2" s="14">
        <f t="shared" ref="M2" ca="1" si="0">Y2+AK2</f>
        <v>56.716666666666661</v>
      </c>
      <c r="N2" s="14">
        <f t="shared" ref="N2" ca="1" si="1">Z2+AL2</f>
        <v>7.75</v>
      </c>
      <c r="O2" s="14">
        <f t="shared" ref="O2" ca="1" si="2">AA2+AM2</f>
        <v>15.166666666666668</v>
      </c>
      <c r="P2" s="14">
        <f t="shared" ref="P2" ca="1" si="3">AB2+AN2</f>
        <v>0</v>
      </c>
      <c r="Q2" s="14">
        <f t="shared" ref="Q2" ca="1" si="4">AC2+AO2</f>
        <v>0.36666666666666803</v>
      </c>
      <c r="R2" s="14">
        <f t="shared" ref="R2:S2" ca="1" si="5">AD2+AP2</f>
        <v>0</v>
      </c>
      <c r="S2" s="28">
        <f t="shared" ca="1" si="5"/>
        <v>11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80.000000000000014</v>
      </c>
      <c r="Y2" s="17">
        <f ca="1">IF($A2=0,0,SUMIF('Week 1 Roster'!$AZ:$AZ,$B2,'Week 1 Roster'!$AE:$AE))</f>
        <v>25.68333333333333</v>
      </c>
      <c r="Z2" s="17">
        <f ca="1">IF($A2=0,0,SUMIF('Week 1 Roster'!$AZ:$AZ,$B2,'Week 1 Roster'!$AG:$AG))</f>
        <v>7.75</v>
      </c>
      <c r="AA2" s="17">
        <f ca="1">IF($A2=0,0,SUMIF('Week 1 Roster'!$AZ:$AZ,$B2,'Week 1 Roster'!$AI:$AI))</f>
        <v>7.5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6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40.93333333333333</v>
      </c>
      <c r="AK2" s="17">
        <f ca="1">IF($A2=0,0,SUMIF('Week 2 Roster'!$AZ:$AZ,$B2,'Week 2 Roster'!$AE:$AE))</f>
        <v>31.033333333333331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7.6666666666666679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0.36666666666666803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39.06666666666667</v>
      </c>
      <c r="AV2" s="17"/>
      <c r="AW2" s="25">
        <f>'Week 1 Roster'!A2</f>
        <v>10156</v>
      </c>
      <c r="AX2" s="25">
        <f>'Week 2 Roster'!A2</f>
        <v>10156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10312</v>
      </c>
      <c r="B3" s="28">
        <f t="shared" ref="B3:B66" ca="1" si="9">IF(A3=0,"",_xlfn.NUMBERVALUE(A3))</f>
        <v>10312</v>
      </c>
      <c r="C3" s="28" t="str">
        <f ca="1">IF($A3=0,"",VLOOKUP($B3,Employees!$A:$G,2,FALSE))</f>
        <v>Minh Khai</v>
      </c>
      <c r="D3" s="28" t="str">
        <f ca="1">IF($A3=0,"",VLOOKUP($B3,Employees!$A:$G,3,FALSE))</f>
        <v>Truong</v>
      </c>
      <c r="E3" s="26">
        <f ca="1">IF($A3=0,"",VLOOKUP($B3,Employees!$A:$G,5,FALSE))</f>
        <v>37780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MC</v>
      </c>
      <c r="L3" s="13" t="str">
        <f ca="1">IF($A3=0,"",VLOOKUP(K3,Stores!A:B,2,0))</f>
        <v>Superb</v>
      </c>
      <c r="M3" s="14">
        <f t="shared" ref="M3:M66" ca="1" si="11">Y3+AK3</f>
        <v>0</v>
      </c>
      <c r="N3" s="14">
        <f t="shared" ref="N3:N66" ca="1" si="12">Z3+AL3</f>
        <v>6.5333333333333323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1</v>
      </c>
      <c r="T3" s="14">
        <f t="shared" ref="T3:T66" ca="1" si="18">AF3+AR3</f>
        <v>0</v>
      </c>
      <c r="U3" s="14">
        <f t="shared" ref="U3:U66" ca="1" si="19">AG3+AS3</f>
        <v>15</v>
      </c>
      <c r="V3" s="14">
        <f t="shared" ref="V3:V66" ca="1" si="20">AH3+AT3</f>
        <v>0</v>
      </c>
      <c r="W3" s="14">
        <f t="shared" ref="W3:W66" ca="1" si="21">SUM(M3:R3,T3:V3)</f>
        <v>21.533333333333331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6.5333333333333323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15</v>
      </c>
      <c r="AH3" s="17">
        <f ca="1">IF($A3=0,0,SUMIF('Week 1 Roster'!$AZ:$AZ,$B3,'Week 1 Roster'!$AS:$AS))</f>
        <v>0</v>
      </c>
      <c r="AI3" s="17">
        <f t="shared" ref="AI3:AI66" ca="1" si="22">SUM(Y3:AD3,AF3:AH3)</f>
        <v>21.533333333333331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10312</v>
      </c>
      <c r="AX3" s="25">
        <f>'Week 2 Roster'!A3</f>
        <v>10180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10180</v>
      </c>
      <c r="B4" s="28">
        <f t="shared" ca="1" si="9"/>
        <v>10180</v>
      </c>
      <c r="C4" s="28" t="str">
        <f ca="1">IF($A4=0,"",VLOOKUP($B4,Employees!$A:$G,2,FALSE))</f>
        <v>Warantorn</v>
      </c>
      <c r="D4" s="28" t="str">
        <f ca="1">IF($A4=0,"",VLOOKUP($B4,Employees!$A:$G,3,FALSE))</f>
        <v>Rattanaudomsawat</v>
      </c>
      <c r="E4" s="26">
        <f ca="1">IF($A4=0,"",VLOOKUP($B4,Employees!$A:$G,5,FALSE))</f>
        <v>36339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4880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MC</v>
      </c>
      <c r="L4" s="13" t="str">
        <f ca="1">IF($A4=0,"",VLOOKUP(K4,Stores!A:B,2,0))</f>
        <v>Superb</v>
      </c>
      <c r="M4" s="14">
        <f t="shared" ca="1" si="11"/>
        <v>13.133333333333333</v>
      </c>
      <c r="N4" s="14">
        <f t="shared" ca="1" si="12"/>
        <v>6.5500000000000007</v>
      </c>
      <c r="O4" s="14">
        <f t="shared" ca="1" si="13"/>
        <v>6.4999999999999991</v>
      </c>
      <c r="P4" s="14">
        <f t="shared" ca="1" si="14"/>
        <v>0</v>
      </c>
      <c r="Q4" s="14">
        <f t="shared" ca="1" si="15"/>
        <v>1.1666666666666679</v>
      </c>
      <c r="R4" s="14">
        <f t="shared" ca="1" si="16"/>
        <v>0</v>
      </c>
      <c r="S4" s="28">
        <f t="shared" ca="1" si="17"/>
        <v>4</v>
      </c>
      <c r="T4" s="14">
        <f t="shared" ca="1" si="18"/>
        <v>0</v>
      </c>
      <c r="U4" s="14">
        <f t="shared" ca="1" si="19"/>
        <v>38</v>
      </c>
      <c r="V4" s="14">
        <f t="shared" ca="1" si="20"/>
        <v>0</v>
      </c>
      <c r="W4" s="14">
        <f t="shared" ca="1" si="21"/>
        <v>65.349999999999994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0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38</v>
      </c>
      <c r="AH4" s="17">
        <f ca="1">IF($A4=0,0,SUMIF('Week 1 Roster'!$AZ:$AZ,$B4,'Week 1 Roster'!$AS:$AS))</f>
        <v>0</v>
      </c>
      <c r="AI4" s="17">
        <f t="shared" ca="1" si="22"/>
        <v>38</v>
      </c>
      <c r="AK4" s="17">
        <f ca="1">IF($A4=0,0,SUMIF('Week 2 Roster'!$AZ:$AZ,$B4,'Week 2 Roster'!$AE:$AE))</f>
        <v>13.133333333333333</v>
      </c>
      <c r="AL4" s="17">
        <f ca="1">IF($A4=0,0,SUMIF('Week 2 Roster'!$AZ:$AZ,$B4,'Week 2 Roster'!$AG:$AG))</f>
        <v>6.5500000000000007</v>
      </c>
      <c r="AM4" s="17">
        <f ca="1">IF($A4=0,0,SUMIF('Week 2 Roster'!$AZ:$AZ,$B4,'Week 2 Roster'!$AI:$AI))</f>
        <v>6.4999999999999991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1.1666666666666679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27.35</v>
      </c>
      <c r="AV4" s="17"/>
      <c r="AW4" s="25">
        <f>'Week 1 Roster'!A4</f>
        <v>10365</v>
      </c>
      <c r="AX4" s="25">
        <f>'Week 2 Roster'!A4</f>
        <v>10365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10365</v>
      </c>
      <c r="B5" s="28">
        <f t="shared" ca="1" si="9"/>
        <v>10365</v>
      </c>
      <c r="C5" s="28" t="str">
        <f ca="1">IF($A5=0,"",VLOOKUP($B5,Employees!$A:$G,2,FALSE))</f>
        <v>Jocelyn</v>
      </c>
      <c r="D5" s="28" t="str">
        <f ca="1">IF($A5=0,"",VLOOKUP($B5,Employees!$A:$G,3,FALSE))</f>
        <v>Lee</v>
      </c>
      <c r="E5" s="26">
        <f ca="1">IF($A5=0,"",VLOOKUP($B5,Employees!$A:$G,5,FALSE))</f>
        <v>38058</v>
      </c>
      <c r="F5" s="13">
        <f ca="1">IF($E5="","",ROUNDDOWN(YEARFRAC($E5, 'Week 1 Roster'!$D$1-1, 1), 0))</f>
        <v>21</v>
      </c>
      <c r="G5" s="13">
        <f ca="1">IF($E5="","",ROUNDDOWN(YEARFRAC($E5, 'Week 1 Roster'!$D$1+14, 1), 0))</f>
        <v>21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MC</v>
      </c>
      <c r="L5" s="13" t="str">
        <f ca="1">IF($A5=0,"",VLOOKUP(K5,Stores!A:B,2,0))</f>
        <v>Superb</v>
      </c>
      <c r="M5" s="14">
        <f t="shared" ca="1" si="11"/>
        <v>27.95</v>
      </c>
      <c r="N5" s="14">
        <f t="shared" ca="1" si="12"/>
        <v>16.833333333333332</v>
      </c>
      <c r="O5" s="14">
        <f t="shared" ca="1" si="13"/>
        <v>11.716666666666669</v>
      </c>
      <c r="P5" s="14">
        <f t="shared" ca="1" si="14"/>
        <v>0</v>
      </c>
      <c r="Q5" s="14">
        <f t="shared" ca="1" si="15"/>
        <v>3.7166666666666721</v>
      </c>
      <c r="R5" s="14">
        <f t="shared" ca="1" si="16"/>
        <v>0</v>
      </c>
      <c r="S5" s="28">
        <f t="shared" ca="1" si="17"/>
        <v>8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60.216666666666669</v>
      </c>
      <c r="Y5" s="17">
        <f ca="1">IF($A5=0,0,SUMIF('Week 1 Roster'!$AZ:$AZ,$B5,'Week 1 Roster'!$AE:$AE))</f>
        <v>15.5</v>
      </c>
      <c r="Z5" s="17">
        <f ca="1">IF($A5=0,0,SUMIF('Week 1 Roster'!$AZ:$AZ,$B5,'Week 1 Roster'!$AG:$AG))</f>
        <v>8.0833333333333321</v>
      </c>
      <c r="AA5" s="17">
        <f ca="1">IF($A5=0,0,SUMIF('Week 1 Roster'!$AZ:$AZ,$B5,'Week 1 Roster'!$AI:$AI))</f>
        <v>6.5666666666666682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2.2000000000000028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4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32.35</v>
      </c>
      <c r="AK5" s="17">
        <f ca="1">IF($A5=0,0,SUMIF('Week 2 Roster'!$AZ:$AZ,$B5,'Week 2 Roster'!$AE:$AE))</f>
        <v>12.45</v>
      </c>
      <c r="AL5" s="17">
        <f ca="1">IF($A5=0,0,SUMIF('Week 2 Roster'!$AZ:$AZ,$B5,'Week 2 Roster'!$AG:$AG))</f>
        <v>8.75</v>
      </c>
      <c r="AM5" s="17">
        <f ca="1">IF($A5=0,0,SUMIF('Week 2 Roster'!$AZ:$AZ,$B5,'Week 2 Roster'!$AI:$AI))</f>
        <v>5.15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1.5166666666666693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4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27.866666666666671</v>
      </c>
      <c r="AV5" s="17"/>
      <c r="AW5" s="25">
        <f>'Week 1 Roster'!A5</f>
        <v>10378</v>
      </c>
      <c r="AX5" s="25">
        <f>'Week 2 Roster'!A5</f>
        <v>10378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10378</v>
      </c>
      <c r="B6" s="28">
        <f t="shared" ca="1" si="9"/>
        <v>10378</v>
      </c>
      <c r="C6" s="28" t="str">
        <f ca="1">IF($A6=0,"",VLOOKUP($B6,Employees!$A:$G,2,FALSE))</f>
        <v>Harshit</v>
      </c>
      <c r="D6" s="28" t="str">
        <f ca="1">IF($A6=0,"",VLOOKUP($B6,Employees!$A:$G,3,FALSE))</f>
        <v>Setia</v>
      </c>
      <c r="E6" s="26">
        <f ca="1">IF($A6=0,"",VLOOKUP($B6,Employees!$A:$G,5,FALSE))</f>
        <v>36452</v>
      </c>
      <c r="F6" s="13">
        <f ca="1">IF($E6="","",ROUNDDOWN(YEARFRAC($E6, 'Week 1 Roster'!$D$1-1, 1), 0))</f>
        <v>26</v>
      </c>
      <c r="G6" s="13">
        <f ca="1">IF($E6="","",ROUNDDOWN(YEARFRAC($E6, 'Week 1 Roster'!$D$1+14, 1), 0))</f>
        <v>26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MC</v>
      </c>
      <c r="L6" s="13" t="str">
        <f ca="1">IF($A6=0,"",VLOOKUP(K6,Stores!A:B,2,0))</f>
        <v>Superb</v>
      </c>
      <c r="M6" s="14">
        <f t="shared" ca="1" si="11"/>
        <v>47.649999999999991</v>
      </c>
      <c r="N6" s="14">
        <f t="shared" ca="1" si="12"/>
        <v>7.4999999999999982</v>
      </c>
      <c r="O6" s="14">
        <f t="shared" ca="1" si="13"/>
        <v>0</v>
      </c>
      <c r="P6" s="14">
        <f t="shared" ca="1" si="14"/>
        <v>0</v>
      </c>
      <c r="Q6" s="14">
        <f t="shared" ca="1" si="15"/>
        <v>9.3500000000000085</v>
      </c>
      <c r="R6" s="14">
        <f t="shared" ca="1" si="16"/>
        <v>0</v>
      </c>
      <c r="S6" s="28">
        <f t="shared" ca="1" si="17"/>
        <v>9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64.5</v>
      </c>
      <c r="Y6" s="17">
        <f ca="1">IF($A6=0,0,SUMIF('Week 1 Roster'!$AZ:$AZ,$B6,'Week 1 Roster'!$AE:$AE))</f>
        <v>30.416666666666664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5.2000000000000055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5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35.616666666666667</v>
      </c>
      <c r="AK6" s="17">
        <f ca="1">IF($A6=0,0,SUMIF('Week 2 Roster'!$AZ:$AZ,$B6,'Week 2 Roster'!$AE:$AE))</f>
        <v>17.233333333333331</v>
      </c>
      <c r="AL6" s="17">
        <f ca="1">IF($A6=0,0,SUMIF('Week 2 Roster'!$AZ:$AZ,$B6,'Week 2 Roster'!$AG:$AG))</f>
        <v>7.4999999999999982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4.1500000000000039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28.883333333333333</v>
      </c>
      <c r="AV6" s="17"/>
      <c r="AW6" s="25">
        <f>'Week 1 Roster'!A6</f>
        <v>210419</v>
      </c>
      <c r="AX6" s="25">
        <f>'Week 2 Roster'!A6</f>
        <v>210419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210419</v>
      </c>
      <c r="B7" s="28">
        <f t="shared" ca="1" si="9"/>
        <v>210419</v>
      </c>
      <c r="C7" s="28" t="str">
        <f ca="1">IF($A7=0,"",VLOOKUP($B7,Employees!$A:$G,2,FALSE))</f>
        <v>Yu Yin Jennifer</v>
      </c>
      <c r="D7" s="28" t="str">
        <f ca="1">IF($A7=0,"",VLOOKUP($B7,Employees!$A:$G,3,FALSE))</f>
        <v>Wong</v>
      </c>
      <c r="E7" s="26">
        <f ca="1">IF($A7=0,"",VLOOKUP($B7,Employees!$A:$G,5,FALSE))</f>
        <v>38538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20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MC</v>
      </c>
      <c r="L7" s="13" t="str">
        <f ca="1">IF($A7=0,"",VLOOKUP(K7,Stores!A:B,2,0))</f>
        <v>Superb</v>
      </c>
      <c r="M7" s="14">
        <f t="shared" ca="1" si="11"/>
        <v>13.219999999999997</v>
      </c>
      <c r="N7" s="14">
        <f t="shared" ca="1" si="12"/>
        <v>0</v>
      </c>
      <c r="O7" s="14">
        <f t="shared" ca="1" si="13"/>
        <v>6.6666666666666679</v>
      </c>
      <c r="P7" s="14">
        <f t="shared" ca="1" si="14"/>
        <v>0</v>
      </c>
      <c r="Q7" s="14">
        <f t="shared" ca="1" si="15"/>
        <v>2.2966666666666677</v>
      </c>
      <c r="R7" s="14">
        <f t="shared" ca="1" si="16"/>
        <v>0</v>
      </c>
      <c r="S7" s="28">
        <f t="shared" ca="1" si="17"/>
        <v>3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22.18333333333333</v>
      </c>
      <c r="Y7" s="17">
        <f ca="1">IF($A7=0,0,SUMIF('Week 1 Roster'!$AZ:$AZ,$B7,'Week 1 Roster'!$AE:$AE))</f>
        <v>8.7199999999999989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1.1299999999999999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9.8499999999999979</v>
      </c>
      <c r="AK7" s="17">
        <f ca="1">IF($A7=0,0,SUMIF('Week 2 Roster'!$AZ:$AZ,$B7,'Week 2 Roster'!$AE:$AE))</f>
        <v>4.4999999999999982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6.6666666666666679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1.1666666666666679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2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12.333333333333334</v>
      </c>
      <c r="AV7" s="17"/>
      <c r="AW7" s="25">
        <f>'Week 1 Roster'!A7</f>
        <v>210425</v>
      </c>
      <c r="AX7" s="25">
        <f>'Week 2 Roster'!A7</f>
        <v>10243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210425</v>
      </c>
      <c r="B8" s="28">
        <f t="shared" ca="1" si="9"/>
        <v>210425</v>
      </c>
      <c r="C8" s="28" t="str">
        <f ca="1">IF($A8=0,"",VLOOKUP($B8,Employees!$A:$G,2,FALSE))</f>
        <v>Ying Ni</v>
      </c>
      <c r="D8" s="28" t="str">
        <f ca="1">IF($A8=0,"",VLOOKUP($B8,Employees!$A:$G,3,FALSE))</f>
        <v>Mu</v>
      </c>
      <c r="E8" s="26">
        <f ca="1">IF($A8=0,"",VLOOKUP($B8,Employees!$A:$G,5,FALSE))</f>
        <v>40080</v>
      </c>
      <c r="F8" s="13">
        <f ca="1">IF($E8="","",ROUNDDOWN(YEARFRAC($E8, 'Week 1 Roster'!$D$1-1, 1), 0))</f>
        <v>16</v>
      </c>
      <c r="G8" s="13">
        <f ca="1">IF($E8="","",ROUNDDOWN(YEARFRAC($E8, 'Week 1 Roster'!$D$1+14, 1), 0))</f>
        <v>16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MC</v>
      </c>
      <c r="L8" s="13" t="str">
        <f ca="1">IF($A8=0,"",VLOOKUP(K8,Stores!A:B,2,0))</f>
        <v>Superb</v>
      </c>
      <c r="M8" s="14">
        <f t="shared" ca="1" si="11"/>
        <v>0</v>
      </c>
      <c r="N8" s="14">
        <f t="shared" ca="1" si="12"/>
        <v>0</v>
      </c>
      <c r="O8" s="14">
        <f t="shared" ca="1" si="13"/>
        <v>6.5833333333333321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6.5833333333333321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6.5833333333333321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6.5833333333333321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210486</v>
      </c>
      <c r="AX8" s="25">
        <f>'Week 2 Roster'!A8</f>
        <v>210486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10243</v>
      </c>
      <c r="B9" s="28">
        <f t="shared" ca="1" si="9"/>
        <v>10243</v>
      </c>
      <c r="C9" s="28" t="str">
        <f ca="1">IF($A9=0,"",VLOOKUP($B9,Employees!$A:$G,2,FALSE))</f>
        <v>Shi Wei</v>
      </c>
      <c r="D9" s="28" t="str">
        <f ca="1">IF($A9=0,"",VLOOKUP($B9,Employees!$A:$G,3,FALSE))</f>
        <v>Wong</v>
      </c>
      <c r="E9" s="26">
        <f ca="1">IF($A9=0,"",VLOOKUP($B9,Employees!$A:$G,5,FALSE))</f>
        <v>36411</v>
      </c>
      <c r="F9" s="13">
        <f ca="1">IF($E9="","",ROUNDDOWN(YEARFRAC($E9, 'Week 1 Roster'!$D$1-1, 1), 0))</f>
        <v>26</v>
      </c>
      <c r="G9" s="13">
        <f ca="1">IF($E9="","",ROUNDDOWN(YEARFRAC($E9, 'Week 1 Roster'!$D$1+14, 1), 0))</f>
        <v>26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GCM</v>
      </c>
      <c r="K9" s="13" t="str">
        <f ca="1">IF($A9=0,"",IF(ISNA(VLOOKUP(A9,'Week 1 Roster'!A:C,2,0)),VLOOKUP(A9,'Week 2 Roster'!A:C,2,0),VLOOKUP(A9,'Week 1 Roster'!A:C,2,0)))</f>
        <v>MC</v>
      </c>
      <c r="L9" s="13" t="str">
        <f ca="1">IF($A9=0,"",VLOOKUP(K9,Stores!A:B,2,0))</f>
        <v>Superb</v>
      </c>
      <c r="M9" s="14">
        <f t="shared" ca="1" si="11"/>
        <v>6.4999999999999991</v>
      </c>
      <c r="N9" s="14">
        <f t="shared" ca="1" si="12"/>
        <v>7.2499999999999991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52</v>
      </c>
      <c r="V9" s="14">
        <f t="shared" ca="1" si="20"/>
        <v>0</v>
      </c>
      <c r="W9" s="14">
        <f t="shared" ca="1" si="21"/>
        <v>65.75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52</v>
      </c>
      <c r="AH9" s="17">
        <f ca="1">IF($A9=0,0,SUMIF('Week 1 Roster'!$AZ:$AZ,$B9,'Week 1 Roster'!$AS:$AS))</f>
        <v>0</v>
      </c>
      <c r="AI9" s="17">
        <f t="shared" ca="1" si="22"/>
        <v>52</v>
      </c>
      <c r="AK9" s="17">
        <f ca="1">IF($A9=0,0,SUMIF('Week 2 Roster'!$AZ:$AZ,$B9,'Week 2 Roster'!$AE:$AE))</f>
        <v>6.4999999999999991</v>
      </c>
      <c r="AL9" s="17">
        <f ca="1">IF($A9=0,0,SUMIF('Week 2 Roster'!$AZ:$AZ,$B9,'Week 2 Roster'!$AG:$AG))</f>
        <v>7.2499999999999991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2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13.749999999999998</v>
      </c>
      <c r="AV9" s="17"/>
      <c r="AW9" s="25">
        <f>'Week 1 Roster'!A9</f>
        <v>10001</v>
      </c>
      <c r="AX9" s="25">
        <f>'Week 2 Roster'!A9</f>
        <v>10090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210486</v>
      </c>
      <c r="B10" s="28">
        <f t="shared" ca="1" si="9"/>
        <v>210486</v>
      </c>
      <c r="C10" s="28" t="str">
        <f ca="1">IF($A10=0,"",VLOOKUP($B10,Employees!$A:$G,2,FALSE))</f>
        <v>Nattharika</v>
      </c>
      <c r="D10" s="28" t="str">
        <f ca="1">IF($A10=0,"",VLOOKUP($B10,Employees!$A:$G,3,FALSE))</f>
        <v>Netsuwan</v>
      </c>
      <c r="E10" s="26">
        <f ca="1">IF($A10=0,"",VLOOKUP($B10,Employees!$A:$G,5,FALSE))</f>
        <v>35622</v>
      </c>
      <c r="F10" s="13">
        <f ca="1">IF($E10="","",ROUNDDOWN(YEARFRAC($E10, 'Week 1 Roster'!$D$1-1, 1), 0))</f>
        <v>28</v>
      </c>
      <c r="G10" s="13">
        <f ca="1">IF($E10="","",ROUNDDOWN(YEARFRAC($E10, 'Week 1 Roster'!$D$1+14, 1), 0))</f>
        <v>28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MC</v>
      </c>
      <c r="L10" s="13" t="str">
        <f ca="1">IF($A10=0,"",VLOOKUP(K10,Stores!A:B,2,0))</f>
        <v>Superb</v>
      </c>
      <c r="M10" s="14">
        <f t="shared" ca="1" si="11"/>
        <v>30.299999999999997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5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30.299999999999997</v>
      </c>
      <c r="Y10" s="17">
        <f ca="1">IF($A10=0,0,SUMIF('Week 1 Roster'!$AZ:$AZ,$B10,'Week 1 Roster'!$AE:$AE))</f>
        <v>12.233333333333333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12.233333333333333</v>
      </c>
      <c r="AK10" s="17">
        <f ca="1">IF($A10=0,0,SUMIF('Week 2 Roster'!$AZ:$AZ,$B10,'Week 2 Roster'!$AE:$AE))</f>
        <v>18.066666666666666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3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18.066666666666666</v>
      </c>
      <c r="AV10" s="17"/>
      <c r="AW10" s="25">
        <f>'Week 1 Roster'!A10</f>
        <v>10090</v>
      </c>
      <c r="AX10" s="25">
        <f>'Week 2 Roster'!A10</f>
        <v>10037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10001</v>
      </c>
      <c r="B11" s="28">
        <f t="shared" ca="1" si="9"/>
        <v>10001</v>
      </c>
      <c r="C11" s="28" t="str">
        <f ca="1">IF($A11=0,"",VLOOKUP($B11,Employees!$A:$G,2,FALSE))</f>
        <v>Chien Han</v>
      </c>
      <c r="D11" s="28" t="str">
        <f ca="1">IF($A11=0,"",VLOOKUP($B11,Employees!$A:$G,3,FALSE))</f>
        <v>Lee</v>
      </c>
      <c r="E11" s="26">
        <f ca="1">IF($A11=0,"",VLOOKUP($B11,Employees!$A:$G,5,FALSE))</f>
        <v>33178</v>
      </c>
      <c r="F11" s="13">
        <f ca="1">IF($E11="","",ROUNDDOWN(YEARFRAC($E11, 'Week 1 Roster'!$D$1-1, 1), 0))</f>
        <v>34</v>
      </c>
      <c r="G11" s="13">
        <f ca="1">IF($E11="","",ROUNDDOWN(YEARFRAC($E11, 'Week 1 Roster'!$D$1+14, 1), 0))</f>
        <v>35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GCM</v>
      </c>
      <c r="K11" s="13" t="str">
        <f ca="1">IF($A11=0,"",IF(ISNA(VLOOKUP(A11,'Week 1 Roster'!A:C,2,0)),VLOOKUP(A11,'Week 2 Roster'!A:C,2,0),VLOOKUP(A11,'Week 1 Roster'!A:C,2,0)))</f>
        <v>MC</v>
      </c>
      <c r="L11" s="13" t="str">
        <f ca="1">IF($A11=0,"",VLOOKUP(K11,Stores!A:B,2,0))</f>
        <v>Superb</v>
      </c>
      <c r="M11" s="14">
        <f t="shared" ca="1" si="11"/>
        <v>5.9999999999999982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5.9999999999999982</v>
      </c>
      <c r="Y11" s="17">
        <f ca="1">IF($A11=0,0,SUMIF('Week 1 Roster'!$AZ:$AZ,$B11,'Week 1 Roster'!$AE:$AE))</f>
        <v>5.9999999999999982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5.9999999999999982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210441</v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10090</v>
      </c>
      <c r="B12" s="28">
        <f t="shared" ca="1" si="9"/>
        <v>10090</v>
      </c>
      <c r="C12" s="28" t="str">
        <f ca="1">IF($A12=0,"",VLOOKUP($B12,Employees!$A:$G,2,FALSE))</f>
        <v>Hsin-Yi</v>
      </c>
      <c r="D12" s="28" t="str">
        <f ca="1">IF($A12=0,"",VLOOKUP($B12,Employees!$A:$G,3,FALSE))</f>
        <v>CHIANG</v>
      </c>
      <c r="E12" s="26">
        <f ca="1">IF($A12=0,"",VLOOKUP($B12,Employees!$A:$G,5,FALSE))</f>
        <v>33945</v>
      </c>
      <c r="F12" s="13">
        <f ca="1">IF($E12="","",ROUNDDOWN(YEARFRAC($E12, 'Week 1 Roster'!$D$1-1, 1), 0))</f>
        <v>32</v>
      </c>
      <c r="G12" s="13">
        <f ca="1">IF($E12="","",ROUNDDOWN(YEARFRAC($E12, 'Week 1 Roster'!$D$1+14, 1), 0))</f>
        <v>32</v>
      </c>
      <c r="H12" s="13" t="b">
        <f t="shared" ca="1" si="10"/>
        <v>0</v>
      </c>
      <c r="I12" s="13">
        <f ca="1">IF($A12=0,"",VLOOKUP($B12,Employees!$A:$G,6,FALSE))</f>
        <v>48</v>
      </c>
      <c r="J12" s="13" t="str">
        <f ca="1">IF($A12=0,"",VLOOKUP($B12,Employees!$A:$G,7,FALSE))</f>
        <v>HL</v>
      </c>
      <c r="K12" s="13" t="str">
        <f ca="1">IF($A12=0,"",IF(ISNA(VLOOKUP(A12,'Week 1 Roster'!A:C,2,0)),VLOOKUP(A12,'Week 2 Roster'!A:C,2,0),VLOOKUP(A12,'Week 1 Roster'!A:C,2,0)))</f>
        <v>MC</v>
      </c>
      <c r="L12" s="13" t="str">
        <f ca="1">IF($A12=0,"",VLOOKUP(K12,Stores!A:B,2,0))</f>
        <v>Superb</v>
      </c>
      <c r="M12" s="14">
        <f t="shared" ca="1" si="11"/>
        <v>0</v>
      </c>
      <c r="N12" s="14">
        <f t="shared" ca="1" si="12"/>
        <v>0</v>
      </c>
      <c r="O12" s="14">
        <f t="shared" ca="1" si="13"/>
        <v>7.5666666666666664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7.5666666666666664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7.5666666666666664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7.5666666666666664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10038</v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10037</v>
      </c>
      <c r="B13" s="28">
        <f t="shared" ca="1" si="9"/>
        <v>10037</v>
      </c>
      <c r="C13" s="28" t="str">
        <f ca="1">IF($A13=0,"",VLOOKUP($B13,Employees!$A:$G,2,FALSE))</f>
        <v>Siew Wei</v>
      </c>
      <c r="D13" s="28" t="str">
        <f ca="1">IF($A13=0,"",VLOOKUP($B13,Employees!$A:$G,3,FALSE))</f>
        <v>Liew</v>
      </c>
      <c r="E13" s="26">
        <f ca="1">IF($A13=0,"",VLOOKUP($B13,Employees!$A:$G,5,FALSE))</f>
        <v>33792</v>
      </c>
      <c r="F13" s="13">
        <f ca="1">IF($E13="","",ROUNDDOWN(YEARFRAC($E13, 'Week 1 Roster'!$D$1-1, 1), 0))</f>
        <v>33</v>
      </c>
      <c r="G13" s="13">
        <f ca="1">IF($E13="","",ROUNDDOWN(YEARFRAC($E13, 'Week 1 Roster'!$D$1+14, 1), 0))</f>
        <v>33</v>
      </c>
      <c r="H13" s="13" t="b">
        <f t="shared" ca="1" si="10"/>
        <v>0</v>
      </c>
      <c r="I13" s="13">
        <f ca="1">IF($A13=0,"",VLOOKUP($B13,Employees!$A:$G,6,FALSE))</f>
        <v>96</v>
      </c>
      <c r="J13" s="13" t="str">
        <f ca="1">IF($A13=0,"",VLOOKUP($B13,Employees!$A:$G,7,FALSE))</f>
        <v>GCM</v>
      </c>
      <c r="K13" s="13" t="str">
        <f ca="1">IF($A13=0,"",IF(ISNA(VLOOKUP(A13,'Week 1 Roster'!A:C,2,0)),VLOOKUP(A13,'Week 2 Roster'!A:C,2,0),VLOOKUP(A13,'Week 1 Roster'!A:C,2,0)))</f>
        <v>MC</v>
      </c>
      <c r="L13" s="13" t="str">
        <f ca="1">IF($A13=0,"",VLOOKUP(K13,Stores!A:B,2,0))</f>
        <v>Superb</v>
      </c>
      <c r="M13" s="14">
        <f t="shared" ca="1" si="11"/>
        <v>0</v>
      </c>
      <c r="N13" s="14">
        <f t="shared" ca="1" si="12"/>
        <v>0</v>
      </c>
      <c r="O13" s="14">
        <f t="shared" ca="1" si="13"/>
        <v>4.9999999999999982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1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4.9999999999999982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4.9999999999999982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1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4.9999999999999982</v>
      </c>
      <c r="AV13" s="17"/>
      <c r="AW13" s="25">
        <f>'Week 1 Roster'!A13</f>
        <v>10243</v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210441</v>
      </c>
      <c r="B14" s="28">
        <f t="shared" ca="1" si="9"/>
        <v>210441</v>
      </c>
      <c r="C14" s="28" t="str">
        <f ca="1">IF($A14=0,"",VLOOKUP($B14,Employees!$A:$G,2,FALSE))</f>
        <v>Sai Nyan Lin</v>
      </c>
      <c r="D14" s="28" t="str">
        <f ca="1">IF($A14=0,"",VLOOKUP($B14,Employees!$A:$G,3,FALSE))</f>
        <v>Htut</v>
      </c>
      <c r="E14" s="26">
        <f ca="1">IF($A14=0,"",VLOOKUP($B14,Employees!$A:$G,5,FALSE))</f>
        <v>38219</v>
      </c>
      <c r="F14" s="13">
        <f ca="1">IF($E14="","",ROUNDDOWN(YEARFRAC($E14, 'Week 1 Roster'!$D$1-1, 1), 0))</f>
        <v>21</v>
      </c>
      <c r="G14" s="13">
        <f ca="1">IF($E14="","",ROUNDDOWN(YEARFRAC($E14, 'Week 1 Roster'!$D$1+14, 1), 0))</f>
        <v>21</v>
      </c>
      <c r="H14" s="13" t="b">
        <f t="shared" ca="1" si="10"/>
        <v>0</v>
      </c>
      <c r="I14" s="13">
        <f ca="1">IF($A14=0,"",VLOOKUP($B14,Employees!$A:$G,6,FALSE))</f>
        <v>48</v>
      </c>
      <c r="J14" s="13" t="str">
        <f ca="1">IF($A14=0,"",VLOOKUP($B14,Employees!$A:$G,7,FALSE))</f>
        <v>SS</v>
      </c>
      <c r="K14" s="13" t="str">
        <f ca="1">IF($A14=0,"",IF(ISNA(VLOOKUP(A14,'Week 1 Roster'!A:C,2,0)),VLOOKUP(A14,'Week 2 Roster'!A:C,2,0),VLOOKUP(A14,'Week 1 Roster'!A:C,2,0)))</f>
        <v>MC</v>
      </c>
      <c r="L14" s="13" t="str">
        <f ca="1">IF($A14=0,"",VLOOKUP(K14,Stores!A:B,2,0))</f>
        <v>Superb</v>
      </c>
      <c r="M14" s="14">
        <f t="shared" ca="1" si="11"/>
        <v>0</v>
      </c>
      <c r="N14" s="14">
        <f t="shared" ca="1" si="12"/>
        <v>7.3166666666666682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1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7.3166666666666682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7.3166666666666682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1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7.3166666666666682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>
        <f>'Week 1 Roster'!A14</f>
        <v>10180</v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10038</v>
      </c>
      <c r="B15" s="28">
        <f t="shared" ca="1" si="9"/>
        <v>10038</v>
      </c>
      <c r="C15" s="28" t="str">
        <f ca="1">IF($A15=0,"",VLOOKUP($B15,Employees!$A:$G,2,FALSE))</f>
        <v>Su Myat</v>
      </c>
      <c r="D15" s="28" t="str">
        <f ca="1">IF($A15=0,"",VLOOKUP($B15,Employees!$A:$G,3,FALSE))</f>
        <v>Than Cin</v>
      </c>
      <c r="E15" s="26">
        <f ca="1">IF($A15=0,"",VLOOKUP($B15,Employees!$A:$G,5,FALSE))</f>
        <v>37403</v>
      </c>
      <c r="F15" s="13">
        <f ca="1">IF($E15="","",ROUNDDOWN(YEARFRAC($E15, 'Week 1 Roster'!$D$1-1, 1), 0))</f>
        <v>23</v>
      </c>
      <c r="G15" s="13">
        <f ca="1">IF($E15="","",ROUNDDOWN(YEARFRAC($E15, 'Week 1 Roster'!$D$1+14, 1), 0))</f>
        <v>23</v>
      </c>
      <c r="H15" s="13" t="b">
        <f t="shared" ca="1" si="10"/>
        <v>0</v>
      </c>
      <c r="I15" s="13">
        <f ca="1">IF($A15=0,"",VLOOKUP($B15,Employees!$A:$G,6,FALSE))</f>
        <v>76</v>
      </c>
      <c r="J15" s="13" t="str">
        <f ca="1">IF($A15=0,"",VLOOKUP($B15,Employees!$A:$G,7,FALSE))</f>
        <v>GCM</v>
      </c>
      <c r="K15" s="13" t="str">
        <f ca="1">IF($A15=0,"",IF(ISNA(VLOOKUP(A15,'Week 1 Roster'!A:C,2,0)),VLOOKUP(A15,'Week 2 Roster'!A:C,2,0),VLOOKUP(A15,'Week 1 Roster'!A:C,2,0)))</f>
        <v>MC</v>
      </c>
      <c r="L15" s="13" t="str">
        <f ca="1">IF($A15=0,"",VLOOKUP(K15,Stores!A:B,2,0))</f>
        <v>Superb</v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20</v>
      </c>
      <c r="V15" s="14">
        <f t="shared" ca="1" si="20"/>
        <v>0</v>
      </c>
      <c r="W15" s="14">
        <f t="shared" ca="1" si="21"/>
        <v>20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20</v>
      </c>
      <c r="AH15" s="17">
        <f ca="1">IF($A15=0,0,SUMIF('Week 1 Roster'!$AZ:$AZ,$B15,'Week 1 Roster'!$AS:$AS))</f>
        <v>0</v>
      </c>
      <c r="AI15" s="17">
        <f t="shared" ca="1" si="22"/>
        <v>20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291" zoomScale="186" zoomScaleNormal="186" workbookViewId="0">
      <selection activeCell="D41" sqref="D41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210188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76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210519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210519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2025-11-10T05:21:11Z</dcterms:modified>
</cp:coreProperties>
</file>