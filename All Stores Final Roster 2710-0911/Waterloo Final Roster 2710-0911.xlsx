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2DF9940F-01FE-D643-86D5-71E2415EE8BD}" xr6:coauthVersionLast="47" xr6:coauthVersionMax="47" xr10:uidLastSave="{00000000-0000-0000-0000-000000000000}"/>
  <bookViews>
    <workbookView xWindow="0" yWindow="740" windowWidth="26300" windowHeight="1416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Z68" i="2"/>
  <c r="AZ67" i="2"/>
  <c r="AZ66" i="2"/>
  <c r="A66" i="2" s="1"/>
  <c r="AW66" i="12" s="1"/>
  <c r="AZ65" i="2"/>
  <c r="AZ64" i="2"/>
  <c r="AZ63" i="2"/>
  <c r="AZ62" i="2"/>
  <c r="AZ61" i="2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Z20" i="2"/>
  <c r="AZ19" i="2"/>
  <c r="AZ18" i="2"/>
  <c r="AZ17" i="2"/>
  <c r="AZ16" i="2"/>
  <c r="A16" i="2" s="1"/>
  <c r="AW16" i="12" s="1"/>
  <c r="AZ15" i="2"/>
  <c r="A15" i="2" s="1"/>
  <c r="AW15" i="12" s="1"/>
  <c r="AZ14" i="2"/>
  <c r="AZ13" i="2"/>
  <c r="A13" i="2" s="1"/>
  <c r="AW13" i="12" s="1"/>
  <c r="AZ12" i="2"/>
  <c r="AZ11" i="2"/>
  <c r="AZ10" i="2"/>
  <c r="AZ9" i="2"/>
  <c r="AZ8" i="2"/>
  <c r="AZ7" i="2"/>
  <c r="A7" i="2" s="1"/>
  <c r="AW7" i="12" s="1"/>
  <c r="AZ6" i="2"/>
  <c r="A6" i="2" s="1"/>
  <c r="AW6" i="12" s="1"/>
  <c r="AZ5" i="2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Z95" i="18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Z83" i="18"/>
  <c r="AZ82" i="18"/>
  <c r="A82" i="18" s="1"/>
  <c r="AX82" i="12" s="1"/>
  <c r="AZ81" i="18"/>
  <c r="AZ80" i="18"/>
  <c r="AZ79" i="18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R22" i="2" s="1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 s="1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H20" i="2" s="1"/>
  <c r="BG20" i="2"/>
  <c r="BF20" i="2"/>
  <c r="BE20" i="2"/>
  <c r="BD20" i="2"/>
  <c r="BB20" i="2"/>
  <c r="BA20" i="2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M18" i="2" s="1"/>
  <c r="BJ18" i="2"/>
  <c r="BI18" i="2"/>
  <c r="BF18" i="2"/>
  <c r="BG18" i="2" s="1"/>
  <c r="BH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 s="1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L22" i="2"/>
  <c r="F8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6" i="18"/>
  <c r="AX96" i="12" s="1"/>
  <c r="A95" i="18"/>
  <c r="AX95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4" i="18"/>
  <c r="AX84" i="12" s="1"/>
  <c r="A83" i="18"/>
  <c r="AX83" i="12" s="1"/>
  <c r="A81" i="18"/>
  <c r="AX81" i="12" s="1"/>
  <c r="A80" i="18"/>
  <c r="AX80" i="12" s="1"/>
  <c r="A79" i="18"/>
  <c r="AX79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9" i="2"/>
  <c r="AW69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1" i="2"/>
  <c r="AW61" i="12" s="1"/>
  <c r="A60" i="2"/>
  <c r="AW60" i="12" s="1"/>
  <c r="A59" i="2"/>
  <c r="AW59" i="12" s="1"/>
  <c r="A57" i="2"/>
  <c r="AW57" i="12" s="1"/>
  <c r="A55" i="2"/>
  <c r="AW55" i="12" s="1"/>
  <c r="A54" i="2"/>
  <c r="AW54" i="12" s="1"/>
  <c r="A53" i="2"/>
  <c r="AW53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9" i="2"/>
  <c r="AW29" i="12" s="1"/>
  <c r="A28" i="2"/>
  <c r="AW28" i="12" s="1"/>
  <c r="A27" i="2"/>
  <c r="AW27" i="12" s="1"/>
  <c r="A25" i="2"/>
  <c r="AW25" i="12" s="1"/>
  <c r="A22" i="2"/>
  <c r="AW22" i="12" s="1"/>
  <c r="A21" i="2"/>
  <c r="AW21" i="12" s="1"/>
  <c r="A20" i="2"/>
  <c r="AW20" i="12" s="1"/>
  <c r="A19" i="2"/>
  <c r="AW19" i="12" s="1"/>
  <c r="A18" i="2"/>
  <c r="AW18" i="12" s="1"/>
  <c r="A17" i="2"/>
  <c r="AW17" i="12" s="1"/>
  <c r="A14" i="2"/>
  <c r="AW14" i="12" s="1"/>
  <c r="A12" i="2"/>
  <c r="AW12" i="12" s="1"/>
  <c r="A11" i="2"/>
  <c r="AW11" i="12" s="1"/>
  <c r="A10" i="2"/>
  <c r="AW10" i="12" s="1"/>
  <c r="A9" i="2"/>
  <c r="AW9" i="12" s="1"/>
  <c r="A8" i="2"/>
  <c r="AW8" i="12" s="1"/>
  <c r="A5" i="2"/>
  <c r="AW5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13" i="2"/>
  <c r="U5" i="2"/>
  <c r="L10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11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X6" i="2"/>
  <c r="I60" i="18"/>
  <c r="I9" i="2"/>
  <c r="F45" i="2"/>
  <c r="X47" i="2"/>
  <c r="CG10" i="18" l="1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F17" i="2"/>
  <c r="BL17" i="2"/>
  <c r="L17" i="2" s="1"/>
  <c r="BH21" i="2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BC20" i="2"/>
  <c r="BG21" i="2"/>
  <c r="I21" i="2" s="1"/>
  <c r="BR21" i="2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C17" i="2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BH22" i="2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C21" i="2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CG19" i="2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K17" i="2" s="1"/>
  <c r="AP17" i="2" s="1"/>
  <c r="CA18" i="2"/>
  <c r="CB18" i="2" s="1"/>
  <c r="CF19" i="2"/>
  <c r="BB21" i="2"/>
  <c r="BG22" i="2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15" i="2"/>
  <c r="L32" i="2"/>
  <c r="AB32" i="2" s="1"/>
  <c r="F100" i="2"/>
  <c r="F15" i="2"/>
  <c r="F20" i="2"/>
  <c r="O29" i="2"/>
  <c r="L51" i="2"/>
  <c r="U31" i="2"/>
  <c r="U6" i="2"/>
  <c r="I43" i="2"/>
  <c r="X30" i="2"/>
  <c r="U40" i="2"/>
  <c r="O81" i="2"/>
  <c r="F91" i="2"/>
  <c r="O6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X11" i="2" l="1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AB21" i="2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AB20" i="2"/>
  <c r="CK24" i="2"/>
  <c r="AP24" i="2" s="1"/>
  <c r="AB24" i="2"/>
  <c r="CK25" i="2"/>
  <c r="AP25" i="2" s="1"/>
  <c r="AB25" i="2"/>
  <c r="I79" i="2"/>
  <c r="CK67" i="2"/>
  <c r="AP67" i="2" s="1"/>
  <c r="AB67" i="2"/>
  <c r="CK11" i="2"/>
  <c r="AP11" i="2" s="1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CK18" i="2"/>
  <c r="AP18" i="2" s="1"/>
  <c r="AB29" i="2"/>
  <c r="CK29" i="2"/>
  <c r="AP29" i="2" s="1"/>
  <c r="AB9" i="2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K2" i="12" l="1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X1" i="2"/>
  <c r="CG1" i="2" s="1"/>
  <c r="A3" i="12" a="1"/>
  <c r="U2" i="12" l="1"/>
  <c r="T2" i="12"/>
  <c r="A3" i="12"/>
  <c r="B3" i="12" s="1"/>
  <c r="S2" i="12"/>
  <c r="BY1" i="2"/>
  <c r="V2" i="12"/>
  <c r="G2" i="12"/>
  <c r="H2" i="12" s="1"/>
  <c r="E1" i="18"/>
  <c r="G1" i="18"/>
  <c r="F1" i="18"/>
  <c r="BC1" i="18" s="1"/>
  <c r="CH1" i="2"/>
  <c r="CD1" i="2"/>
  <c r="AA1" i="2"/>
  <c r="CJ1" i="2" s="1"/>
  <c r="CI1" i="2" s="1"/>
  <c r="Z1" i="2"/>
  <c r="K3" i="12" l="1"/>
  <c r="L3" i="12" s="1"/>
  <c r="AE90" i="2"/>
  <c r="AI75" i="2"/>
  <c r="AK38" i="2"/>
  <c r="AI3" i="2"/>
  <c r="AA3" i="12" s="1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C3" i="12" s="1"/>
  <c r="AM86" i="2"/>
  <c r="AM33" i="2"/>
  <c r="AE48" i="2"/>
  <c r="AG38" i="2"/>
  <c r="AE78" i="2"/>
  <c r="AM70" i="2"/>
  <c r="AI98" i="2"/>
  <c r="AG17" i="2"/>
  <c r="AE77" i="2"/>
  <c r="AM63" i="2"/>
  <c r="AI41" i="2"/>
  <c r="AG3" i="2"/>
  <c r="Z3" i="12" s="1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B3" i="12" s="1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Y3" i="12" s="1"/>
  <c r="AI11" i="2"/>
  <c r="AO3" i="2"/>
  <c r="AD3" i="12" s="1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E3" i="12"/>
  <c r="J3" i="12"/>
  <c r="AG3" i="12"/>
  <c r="AH3" i="12"/>
  <c r="AS3" i="12"/>
  <c r="A4" i="12" a="1"/>
  <c r="AA2" i="12" l="1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I3" i="12"/>
  <c r="A4" i="12"/>
  <c r="K4" i="12" l="1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H8" i="12"/>
  <c r="J8" i="12"/>
  <c r="AC8" i="12"/>
  <c r="AQ8" i="12"/>
  <c r="A9" i="12" a="1"/>
  <c r="AE8" i="12" l="1"/>
  <c r="S8" i="12" s="1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V8" i="12" s="1"/>
  <c r="Z8" i="12"/>
  <c r="A9" i="12"/>
  <c r="B9" i="12" s="1"/>
  <c r="N8" i="12" l="1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A10" i="12"/>
  <c r="K10" i="12" s="1"/>
  <c r="L10" i="12" s="1"/>
  <c r="Q9" i="12"/>
  <c r="N9" i="12"/>
  <c r="H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K10" i="12"/>
  <c r="AO10" i="12"/>
  <c r="AE10" i="12"/>
  <c r="AA10" i="12"/>
  <c r="AH10" i="12"/>
  <c r="Z10" i="12"/>
  <c r="E10" i="12"/>
  <c r="AN10" i="12"/>
  <c r="AC10" i="12"/>
  <c r="AS10" i="12"/>
  <c r="AQ10" i="12"/>
  <c r="AR10" i="12"/>
  <c r="AF10" i="12"/>
  <c r="AD10" i="12"/>
  <c r="AG10" i="12"/>
  <c r="D10" i="12"/>
  <c r="AL10" i="12"/>
  <c r="C10" i="12"/>
  <c r="AT10" i="12"/>
  <c r="J10" i="12"/>
  <c r="Y10" i="12"/>
  <c r="I10" i="12"/>
  <c r="AB10" i="12"/>
  <c r="AM10" i="12"/>
  <c r="R10" i="12" l="1"/>
  <c r="M10" i="12"/>
  <c r="Q10" i="12"/>
  <c r="T10" i="12"/>
  <c r="V10" i="12"/>
  <c r="S10" i="12"/>
  <c r="O10" i="12"/>
  <c r="AI10" i="12"/>
  <c r="U10" i="12"/>
  <c r="P10" i="12"/>
  <c r="N10" i="12"/>
  <c r="F10" i="12"/>
  <c r="AU10" i="12"/>
  <c r="G10" i="12"/>
  <c r="W10" i="12" l="1"/>
  <c r="H10" i="12"/>
  <c r="A11" i="12" a="1"/>
  <c r="A11" i="12" l="1"/>
  <c r="K11" i="12" l="1"/>
  <c r="D11" i="12"/>
  <c r="I11" i="12"/>
  <c r="AQ11" i="12"/>
  <c r="AL11" i="12"/>
  <c r="B11" i="12"/>
  <c r="AC11" i="12"/>
  <c r="AK11" i="12"/>
  <c r="L11" i="12"/>
  <c r="AD11" i="12"/>
  <c r="AR11" i="12"/>
  <c r="AS11" i="12"/>
  <c r="AF11" i="12"/>
  <c r="AO11" i="12"/>
  <c r="Y11" i="12"/>
  <c r="AG11" i="12"/>
  <c r="AM11" i="12"/>
  <c r="C11" i="12"/>
  <c r="AP11" i="12"/>
  <c r="AB11" i="12"/>
  <c r="AE11" i="12"/>
  <c r="AH11" i="12"/>
  <c r="J11" i="12"/>
  <c r="AA11" i="12"/>
  <c r="AN11" i="12"/>
  <c r="Z11" i="12"/>
  <c r="E11" i="12"/>
  <c r="AT11" i="12"/>
  <c r="S11" i="12" l="1"/>
  <c r="O11" i="12"/>
  <c r="P11" i="12"/>
  <c r="U11" i="12"/>
  <c r="T11" i="12"/>
  <c r="Q11" i="12"/>
  <c r="AU11" i="12"/>
  <c r="AI11" i="12"/>
  <c r="M11" i="12"/>
  <c r="V11" i="12"/>
  <c r="F11" i="12"/>
  <c r="H11" i="12"/>
  <c r="G11" i="12"/>
  <c r="N11" i="12"/>
  <c r="R11" i="12"/>
  <c r="A12" i="12" a="1"/>
  <c r="A12" i="12" l="1"/>
  <c r="W11" i="12"/>
  <c r="L12" i="12" l="1"/>
  <c r="C12" i="12"/>
  <c r="I12" i="12"/>
  <c r="AL12" i="12"/>
  <c r="E12" i="12"/>
  <c r="AF12" i="12"/>
  <c r="B12" i="12"/>
  <c r="AE12" i="12"/>
  <c r="AA12" i="12"/>
  <c r="AQ12" i="12"/>
  <c r="D12" i="12"/>
  <c r="J12" i="12"/>
  <c r="AK12" i="12"/>
  <c r="AS12" i="12"/>
  <c r="AT12" i="12"/>
  <c r="AO12" i="12"/>
  <c r="AN12" i="12"/>
  <c r="AH12" i="12"/>
  <c r="AB12" i="12"/>
  <c r="K12" i="12"/>
  <c r="AR12" i="12"/>
  <c r="AC12" i="12"/>
  <c r="Y12" i="12"/>
  <c r="Z12" i="12"/>
  <c r="AM12" i="12"/>
  <c r="AG12" i="12"/>
  <c r="AP12" i="12"/>
  <c r="AD12" i="12"/>
  <c r="N12" i="12" l="1"/>
  <c r="P12" i="12"/>
  <c r="R12" i="12"/>
  <c r="S12" i="12"/>
  <c r="T12" i="12"/>
  <c r="M12" i="12"/>
  <c r="AI12" i="12"/>
  <c r="AU12" i="12"/>
  <c r="H12" i="12"/>
  <c r="F12" i="12"/>
  <c r="G12" i="12"/>
  <c r="U12" i="12"/>
  <c r="Q12" i="12"/>
  <c r="V12" i="12"/>
  <c r="O12" i="12"/>
  <c r="A13" i="12" a="1"/>
  <c r="A13" i="12" l="1"/>
  <c r="W12" i="12"/>
  <c r="AN13" i="12" l="1"/>
  <c r="L13" i="12"/>
  <c r="K13" i="12"/>
  <c r="C13" i="12"/>
  <c r="AH13" i="12"/>
  <c r="AT13" i="12"/>
  <c r="AO13" i="12"/>
  <c r="AL13" i="12"/>
  <c r="I13" i="12"/>
  <c r="B13" i="12"/>
  <c r="AM13" i="12"/>
  <c r="AB13" i="12"/>
  <c r="D13" i="12"/>
  <c r="AD13" i="12"/>
  <c r="AF13" i="12"/>
  <c r="AP13" i="12"/>
  <c r="AR13" i="12"/>
  <c r="Y13" i="12"/>
  <c r="AA13" i="12"/>
  <c r="AE13" i="12"/>
  <c r="E13" i="12"/>
  <c r="AG13" i="12"/>
  <c r="J13" i="12"/>
  <c r="Z13" i="12"/>
  <c r="AQ13" i="12"/>
  <c r="AS13" i="12"/>
  <c r="AK13" i="12"/>
  <c r="AC13" i="12"/>
  <c r="N13" i="12" l="1"/>
  <c r="P13" i="12"/>
  <c r="S13" i="12"/>
  <c r="U13" i="12"/>
  <c r="T13" i="12"/>
  <c r="O13" i="12"/>
  <c r="Q13" i="12"/>
  <c r="AU13" i="12"/>
  <c r="M13" i="12"/>
  <c r="AI13" i="12"/>
  <c r="R13" i="12"/>
  <c r="F13" i="12"/>
  <c r="G13" i="12"/>
  <c r="H13" i="12"/>
  <c r="V13" i="12"/>
  <c r="A14" i="12" a="1"/>
  <c r="A14" i="12" l="1"/>
  <c r="W13" i="12"/>
  <c r="B14" i="12" l="1"/>
  <c r="L14" i="12"/>
  <c r="AR14" i="12"/>
  <c r="E14" i="12"/>
  <c r="C14" i="12"/>
  <c r="AK14" i="12"/>
  <c r="Z14" i="12"/>
  <c r="AO14" i="12"/>
  <c r="AQ14" i="12"/>
  <c r="AT14" i="12"/>
  <c r="AF14" i="12"/>
  <c r="AB14" i="12"/>
  <c r="Y14" i="12"/>
  <c r="AC14" i="12"/>
  <c r="I14" i="12"/>
  <c r="AG14" i="12"/>
  <c r="AE14" i="12"/>
  <c r="K14" i="12"/>
  <c r="D14" i="12"/>
  <c r="AL14" i="12"/>
  <c r="AD14" i="12"/>
  <c r="AH14" i="12"/>
  <c r="AS14" i="12"/>
  <c r="AM14" i="12"/>
  <c r="J14" i="12"/>
  <c r="AN14" i="12"/>
  <c r="AA14" i="12"/>
  <c r="AP14" i="12"/>
  <c r="N14" i="12" l="1"/>
  <c r="P14" i="12"/>
  <c r="V14" i="12"/>
  <c r="R14" i="12"/>
  <c r="S14" i="12"/>
  <c r="T14" i="12"/>
  <c r="U14" i="12"/>
  <c r="Q14" i="12"/>
  <c r="AU14" i="12"/>
  <c r="O14" i="12"/>
  <c r="AI14" i="12"/>
  <c r="M14" i="12"/>
  <c r="G14" i="12"/>
  <c r="H14" i="12"/>
  <c r="F14" i="12"/>
  <c r="A15" i="12" a="1"/>
  <c r="W14" i="12" l="1"/>
  <c r="A15" i="12"/>
  <c r="AT15" i="12" l="1"/>
  <c r="AL15" i="12"/>
  <c r="AA15" i="12"/>
  <c r="AH15" i="12"/>
  <c r="AE15" i="12"/>
  <c r="AG15" i="12"/>
  <c r="Y15" i="12"/>
  <c r="L15" i="12"/>
  <c r="AM15" i="12"/>
  <c r="AB15" i="12"/>
  <c r="AO15" i="12"/>
  <c r="D15" i="12"/>
  <c r="K15" i="12"/>
  <c r="AS15" i="12"/>
  <c r="Z15" i="12"/>
  <c r="AR15" i="12"/>
  <c r="AQ15" i="12"/>
  <c r="E15" i="12"/>
  <c r="AC15" i="12"/>
  <c r="I15" i="12"/>
  <c r="AP15" i="12"/>
  <c r="B15" i="12"/>
  <c r="AK15" i="12"/>
  <c r="C15" i="12"/>
  <c r="AF15" i="12"/>
  <c r="AD15" i="12"/>
  <c r="J15" i="12"/>
  <c r="AN15" i="12"/>
  <c r="N15" i="12" l="1"/>
  <c r="V15" i="12"/>
  <c r="O15" i="12"/>
  <c r="U15" i="12"/>
  <c r="Q15" i="12"/>
  <c r="AU15" i="12"/>
  <c r="AI15" i="12"/>
  <c r="M15" i="12"/>
  <c r="R15" i="12"/>
  <c r="F15" i="12"/>
  <c r="G15" i="12"/>
  <c r="H15" i="12"/>
  <c r="P15" i="12"/>
  <c r="T15" i="12"/>
  <c r="S15" i="12"/>
  <c r="A16" i="12" a="1"/>
  <c r="A16" i="12" l="1"/>
  <c r="W15" i="12"/>
  <c r="Y16" i="12" l="1"/>
  <c r="AR16" i="12"/>
  <c r="AC16" i="12"/>
  <c r="AE16" i="12"/>
  <c r="AL16" i="12"/>
  <c r="J16" i="12"/>
  <c r="AF16" i="12"/>
  <c r="AM16" i="12"/>
  <c r="AD16" i="12"/>
  <c r="AK16" i="12"/>
  <c r="I16" i="12"/>
  <c r="AN16" i="12"/>
  <c r="E16" i="12"/>
  <c r="AH16" i="12"/>
  <c r="V16" i="12" s="1"/>
  <c r="AA16" i="12"/>
  <c r="L16" i="12"/>
  <c r="Z16" i="12"/>
  <c r="AT16" i="12"/>
  <c r="B16" i="12"/>
  <c r="AG16" i="12"/>
  <c r="C16" i="12"/>
  <c r="K16" i="12"/>
  <c r="AQ16" i="12"/>
  <c r="D16" i="12"/>
  <c r="AO16" i="12"/>
  <c r="AP16" i="12"/>
  <c r="AS16" i="12"/>
  <c r="AB16" i="12"/>
  <c r="A17" i="12" a="1"/>
  <c r="R16" i="12" l="1"/>
  <c r="P16" i="12"/>
  <c r="T16" i="12"/>
  <c r="S16" i="12"/>
  <c r="Q16" i="12"/>
  <c r="A17" i="12"/>
  <c r="AU16" i="12"/>
  <c r="O16" i="12"/>
  <c r="F16" i="12"/>
  <c r="H16" i="12"/>
  <c r="G16" i="12"/>
  <c r="U16" i="12"/>
  <c r="N16" i="12"/>
  <c r="AI16" i="12"/>
  <c r="M16" i="12"/>
  <c r="W16" i="12" l="1"/>
  <c r="AK17" i="12"/>
  <c r="AT17" i="12"/>
  <c r="J17" i="12"/>
  <c r="AB17" i="12"/>
  <c r="AN17" i="12"/>
  <c r="B17" i="12"/>
  <c r="Y17" i="12"/>
  <c r="AQ17" i="12"/>
  <c r="K17" i="12"/>
  <c r="AL17" i="12"/>
  <c r="AH17" i="12"/>
  <c r="AE17" i="12"/>
  <c r="S17" i="12" s="1"/>
  <c r="L17" i="12"/>
  <c r="AG17" i="12"/>
  <c r="AM17" i="12"/>
  <c r="AR17" i="12"/>
  <c r="C17" i="12"/>
  <c r="AD17" i="12"/>
  <c r="AF17" i="12"/>
  <c r="AS17" i="12"/>
  <c r="AA17" i="12"/>
  <c r="Z17" i="12"/>
  <c r="D17" i="12"/>
  <c r="AC17" i="12"/>
  <c r="I17" i="12"/>
  <c r="AO17" i="12"/>
  <c r="E17" i="12"/>
  <c r="AP17" i="12"/>
  <c r="A18" i="12" a="1"/>
  <c r="V17" i="12" l="1"/>
  <c r="T17" i="12"/>
  <c r="N17" i="12"/>
  <c r="A18" i="12"/>
  <c r="R17" i="12"/>
  <c r="M17" i="12"/>
  <c r="AI17" i="12"/>
  <c r="O17" i="12"/>
  <c r="U17" i="12"/>
  <c r="G17" i="12"/>
  <c r="F17" i="12"/>
  <c r="H17" i="12"/>
  <c r="P17" i="12"/>
  <c r="AU17" i="12"/>
  <c r="Q17" i="12"/>
  <c r="W17" i="12" l="1"/>
  <c r="C18" i="12"/>
  <c r="AL18" i="12"/>
  <c r="B18" i="12"/>
  <c r="Y18" i="12"/>
  <c r="AO18" i="12"/>
  <c r="AG18" i="12"/>
  <c r="AC18" i="12"/>
  <c r="AF18" i="12"/>
  <c r="AP18" i="12"/>
  <c r="I18" i="12"/>
  <c r="Z18" i="12"/>
  <c r="AQ18" i="12"/>
  <c r="K18" i="12"/>
  <c r="E18" i="12"/>
  <c r="AE18" i="12"/>
  <c r="AR18" i="12"/>
  <c r="AN18" i="12"/>
  <c r="AK18" i="12"/>
  <c r="AS18" i="12"/>
  <c r="D18" i="12"/>
  <c r="AD18" i="12"/>
  <c r="AA18" i="12"/>
  <c r="J18" i="12"/>
  <c r="AB18" i="12"/>
  <c r="AM18" i="12"/>
  <c r="AT18" i="12"/>
  <c r="AH18" i="12"/>
  <c r="L18" i="12"/>
  <c r="A19" i="12" a="1"/>
  <c r="V18" i="12" l="1"/>
  <c r="N18" i="12"/>
  <c r="R18" i="12"/>
  <c r="T18" i="12"/>
  <c r="S18" i="12"/>
  <c r="Q18" i="12"/>
  <c r="A19" i="12"/>
  <c r="G18" i="12"/>
  <c r="H18" i="12"/>
  <c r="F18" i="12"/>
  <c r="AI18" i="12"/>
  <c r="M18" i="12"/>
  <c r="AU18" i="12"/>
  <c r="U18" i="12"/>
  <c r="O18" i="12"/>
  <c r="P18" i="12"/>
  <c r="W18" i="12" l="1"/>
  <c r="AP19" i="12"/>
  <c r="AQ19" i="12"/>
  <c r="AF19" i="12"/>
  <c r="AT19" i="12"/>
  <c r="AK19" i="12"/>
  <c r="L19" i="12"/>
  <c r="K19" i="12"/>
  <c r="AS19" i="12"/>
  <c r="C19" i="12"/>
  <c r="D19" i="12"/>
  <c r="AA19" i="12"/>
  <c r="AH19" i="12"/>
  <c r="AL19" i="12"/>
  <c r="AO19" i="12"/>
  <c r="AD19" i="12"/>
  <c r="Z19" i="12"/>
  <c r="AB19" i="12"/>
  <c r="Y19" i="12"/>
  <c r="E19" i="12"/>
  <c r="AC19" i="12"/>
  <c r="AG19" i="12"/>
  <c r="AM19" i="12"/>
  <c r="AN19" i="12"/>
  <c r="AE19" i="12"/>
  <c r="B19" i="12"/>
  <c r="I19" i="12"/>
  <c r="J19" i="12"/>
  <c r="AR19" i="12"/>
  <c r="A20" i="12" a="1"/>
  <c r="R19" i="12" l="1"/>
  <c r="T19" i="12"/>
  <c r="S19" i="12"/>
  <c r="V19" i="12"/>
  <c r="N19" i="12"/>
  <c r="A20" i="12"/>
  <c r="U19" i="12"/>
  <c r="AU19" i="12"/>
  <c r="Q19" i="12"/>
  <c r="G19" i="12"/>
  <c r="F19" i="12"/>
  <c r="H19" i="12"/>
  <c r="O19" i="12"/>
  <c r="M19" i="12"/>
  <c r="AI19" i="12"/>
  <c r="P19" i="12"/>
  <c r="W19" i="12" l="1"/>
  <c r="AD20" i="12"/>
  <c r="AN20" i="12"/>
  <c r="L20" i="12"/>
  <c r="AH20" i="12"/>
  <c r="B20" i="12"/>
  <c r="C20" i="12"/>
  <c r="D20" i="12"/>
  <c r="AG20" i="12"/>
  <c r="AE20" i="12"/>
  <c r="AK20" i="12"/>
  <c r="J20" i="12"/>
  <c r="E20" i="12"/>
  <c r="AF20" i="12"/>
  <c r="AB20" i="12"/>
  <c r="AO20" i="12"/>
  <c r="AL20" i="12"/>
  <c r="AC20" i="12"/>
  <c r="I20" i="12"/>
  <c r="AR20" i="12"/>
  <c r="AA20" i="12"/>
  <c r="AM20" i="12"/>
  <c r="Y20" i="12"/>
  <c r="AQ20" i="12"/>
  <c r="Z20" i="12"/>
  <c r="K20" i="12"/>
  <c r="AS20" i="12"/>
  <c r="AT20" i="12"/>
  <c r="AP20" i="12"/>
  <c r="A21" i="12" a="1"/>
  <c r="R20" i="12" l="1"/>
  <c r="P20" i="12"/>
  <c r="T20" i="12"/>
  <c r="A21" i="12"/>
  <c r="O20" i="12"/>
  <c r="AU20" i="12"/>
  <c r="Q20" i="12"/>
  <c r="S20" i="12"/>
  <c r="M20" i="12"/>
  <c r="AI20" i="12"/>
  <c r="G20" i="12"/>
  <c r="F20" i="12"/>
  <c r="H20" i="12"/>
  <c r="V20" i="12"/>
  <c r="N20" i="12"/>
  <c r="U20" i="12"/>
  <c r="W20" i="12" l="1"/>
  <c r="AA21" i="12"/>
  <c r="AN21" i="12"/>
  <c r="B21" i="12"/>
  <c r="L21" i="12"/>
  <c r="AB21" i="12"/>
  <c r="AQ21" i="12"/>
  <c r="AO21" i="12"/>
  <c r="AG21" i="12"/>
  <c r="AR21" i="12"/>
  <c r="Z21" i="12"/>
  <c r="AL21" i="12"/>
  <c r="AM21" i="12"/>
  <c r="AD21" i="12"/>
  <c r="E21" i="12"/>
  <c r="AT21" i="12"/>
  <c r="AH21" i="12"/>
  <c r="C21" i="12"/>
  <c r="AE21" i="12"/>
  <c r="AP21" i="12"/>
  <c r="I21" i="12"/>
  <c r="J21" i="12"/>
  <c r="AS21" i="12"/>
  <c r="K21" i="12"/>
  <c r="AF21" i="12"/>
  <c r="D21" i="12"/>
  <c r="AK21" i="12"/>
  <c r="Y21" i="12"/>
  <c r="AC21" i="12"/>
  <c r="A22" i="12" a="1"/>
  <c r="O21" i="12" l="1"/>
  <c r="P21" i="12"/>
  <c r="T21" i="12"/>
  <c r="N21" i="12"/>
  <c r="R21" i="12"/>
  <c r="V21" i="12"/>
  <c r="U21" i="12"/>
  <c r="A22" i="12"/>
  <c r="G21" i="12"/>
  <c r="H21" i="12"/>
  <c r="F21" i="12"/>
  <c r="Q21" i="12"/>
  <c r="M21" i="12"/>
  <c r="AI21" i="12"/>
  <c r="AU21" i="12"/>
  <c r="S21" i="12"/>
  <c r="W21" i="12" l="1"/>
  <c r="E22" i="12"/>
  <c r="AO22" i="12"/>
  <c r="AC22" i="12"/>
  <c r="AK22" i="12"/>
  <c r="AP22" i="12"/>
  <c r="AD22" i="12"/>
  <c r="Z22" i="12"/>
  <c r="Y22" i="12"/>
  <c r="AE22" i="12"/>
  <c r="J22" i="12"/>
  <c r="AM22" i="12"/>
  <c r="B22" i="12"/>
  <c r="AH22" i="12"/>
  <c r="AL22" i="12"/>
  <c r="D22" i="12"/>
  <c r="AT22" i="12"/>
  <c r="AA22" i="12"/>
  <c r="AF22" i="12"/>
  <c r="AG22" i="12"/>
  <c r="I22" i="12"/>
  <c r="AN22" i="12"/>
  <c r="AR22" i="12"/>
  <c r="L22" i="12"/>
  <c r="AS22" i="12"/>
  <c r="AB22" i="12"/>
  <c r="C22" i="12"/>
  <c r="AQ22" i="12"/>
  <c r="K22" i="12"/>
  <c r="A23" i="12" a="1"/>
  <c r="O22" i="12" l="1"/>
  <c r="N22" i="12"/>
  <c r="R22" i="12"/>
  <c r="Q22" i="12"/>
  <c r="A23" i="12"/>
  <c r="U22" i="12"/>
  <c r="T22" i="12"/>
  <c r="M22" i="12"/>
  <c r="AI22" i="12"/>
  <c r="V22" i="12"/>
  <c r="AU22" i="12"/>
  <c r="P22" i="12"/>
  <c r="S22" i="12"/>
  <c r="G22" i="12"/>
  <c r="F22" i="12"/>
  <c r="H22" i="12"/>
  <c r="W22" i="12" l="1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T23" i="12"/>
  <c r="S23" i="12"/>
  <c r="U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R27" i="12" l="1"/>
  <c r="Q27" i="12"/>
  <c r="U27" i="12"/>
  <c r="T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U28" i="12" l="1"/>
  <c r="V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Q29" i="12" l="1"/>
  <c r="O29" i="12"/>
  <c r="P29" i="12"/>
  <c r="R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N30" i="12" s="1"/>
  <c r="AG30" i="12"/>
  <c r="D30" i="12"/>
  <c r="AQ30" i="12"/>
  <c r="AR30" i="12"/>
  <c r="J30" i="12"/>
  <c r="A31" i="12" a="1"/>
  <c r="O30" i="12" l="1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O31" i="12" s="1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U31" i="12"/>
  <c r="V31" i="12"/>
  <c r="S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N32" i="12" l="1"/>
  <c r="P32" i="12"/>
  <c r="U32" i="12"/>
  <c r="T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N33" i="12"/>
  <c r="P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P35" i="12" l="1"/>
  <c r="V35" i="12"/>
  <c r="S35" i="12"/>
  <c r="N35" i="12"/>
  <c r="O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V36" i="12" l="1"/>
  <c r="Q36" i="12"/>
  <c r="R36" i="12"/>
  <c r="T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T37" i="12" l="1"/>
  <c r="S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P38" i="12"/>
  <c r="S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P40" i="12" s="1"/>
  <c r="AC40" i="12"/>
  <c r="AM40" i="12"/>
  <c r="AK40" i="12"/>
  <c r="AT40" i="12"/>
  <c r="Y40" i="12"/>
  <c r="A41" i="12" a="1"/>
  <c r="Q40" i="12" l="1"/>
  <c r="N40" i="12"/>
  <c r="U40" i="12"/>
  <c r="O40" i="12"/>
  <c r="V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N41" i="12" l="1"/>
  <c r="V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Q42" i="12" l="1"/>
  <c r="U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T43" i="12" s="1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V45" i="12" s="1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P45" i="12" l="1"/>
  <c r="T45" i="12"/>
  <c r="U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P46" i="12"/>
  <c r="T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N47" i="12" l="1"/>
  <c r="Q47" i="12"/>
  <c r="U47" i="12"/>
  <c r="T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N49" i="12" l="1"/>
  <c r="U49" i="12"/>
  <c r="V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P51" i="12" s="1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U51" i="12" l="1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P52" i="12" l="1"/>
  <c r="S52" i="12"/>
  <c r="T52" i="12"/>
  <c r="N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O53" i="12" l="1"/>
  <c r="V53" i="12"/>
  <c r="Q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P54" i="12" l="1"/>
  <c r="V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O57" i="12" l="1"/>
  <c r="Q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U58" i="12" l="1"/>
  <c r="P58" i="12"/>
  <c r="Q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S59" i="12" s="1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R60" i="12" s="1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U61" i="12" l="1"/>
  <c r="P61" i="12"/>
  <c r="T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P62" i="12" s="1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S63" i="12" l="1"/>
  <c r="N63" i="12"/>
  <c r="Q63" i="12"/>
  <c r="O63" i="12"/>
  <c r="V63" i="12"/>
  <c r="U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Q64" i="12" l="1"/>
  <c r="AU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U67" i="12" l="1"/>
  <c r="V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V73" i="12" l="1"/>
  <c r="O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R74" i="12"/>
  <c r="P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N75" i="12" l="1"/>
  <c r="V75" i="12"/>
  <c r="Q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V76" i="12" l="1"/>
  <c r="T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R77" i="12" s="1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N80" i="12" s="1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P80" i="12" l="1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T82" i="12" l="1"/>
  <c r="O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T86" i="12" l="1"/>
  <c r="P86" i="12"/>
  <c r="AU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P88" i="12" s="1"/>
  <c r="D88" i="12"/>
  <c r="Z88" i="12"/>
  <c r="AA88" i="12"/>
  <c r="O88" i="12" s="1"/>
  <c r="AE88" i="12"/>
  <c r="AR88" i="12"/>
  <c r="A89" i="12" a="1"/>
  <c r="N88" i="12" l="1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S89" i="12" s="1"/>
  <c r="K89" i="12"/>
  <c r="AC89" i="12"/>
  <c r="AM89" i="12"/>
  <c r="A90" i="12" a="1"/>
  <c r="T89" i="12" l="1"/>
  <c r="P89" i="12"/>
  <c r="R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O95" i="12" s="1"/>
  <c r="AP95" i="12"/>
  <c r="A96" i="12" a="1"/>
  <c r="P95" i="12" l="1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P96" i="12" l="1"/>
  <c r="Q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O100" i="12" s="1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Q100" i="12" l="1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U101" i="12" l="1"/>
  <c r="R101" i="12"/>
  <c r="T101" i="12"/>
  <c r="V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N102" i="12" l="1"/>
  <c r="U102" i="12"/>
  <c r="R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P103" i="12" s="1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P104" i="12" l="1"/>
  <c r="N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S105" i="12" s="1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Q105" i="12" l="1"/>
  <c r="N105" i="12"/>
  <c r="P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R106" i="12" s="1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T106" i="12" l="1"/>
  <c r="P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S107" i="12" s="1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N107" i="12" l="1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U108" i="12" s="1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O108" i="12" l="1"/>
  <c r="Q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Q109" i="12"/>
  <c r="T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O110" i="12" l="1"/>
  <c r="N110" i="12"/>
  <c r="R110" i="12"/>
  <c r="P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V117" i="12" s="1"/>
  <c r="AO117" i="12"/>
  <c r="I117" i="12"/>
  <c r="AB117" i="12"/>
  <c r="AE117" i="12"/>
  <c r="A118" i="12" a="1"/>
  <c r="Q117" i="12" l="1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S119" i="12" l="1"/>
  <c r="N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V120" i="12" s="1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U120" i="12" l="1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Q121" i="12" l="1"/>
  <c r="N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N126" i="12" s="1"/>
  <c r="D126" i="12"/>
  <c r="A127" i="12" a="1"/>
  <c r="T126" i="12" l="1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R127" i="12" s="1"/>
  <c r="AL127" i="12"/>
  <c r="AF127" i="12"/>
  <c r="AQ127" i="12"/>
  <c r="AE127" i="12"/>
  <c r="AR127" i="12"/>
  <c r="B127" i="12"/>
  <c r="A128" i="12" a="1"/>
  <c r="U127" i="12" l="1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S129" i="12" l="1"/>
  <c r="T129" i="12"/>
  <c r="P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P131" i="12" l="1"/>
  <c r="U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V133" i="12" l="1"/>
  <c r="R133" i="12"/>
  <c r="P133" i="12"/>
  <c r="N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P134" i="12" s="1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S134" i="12" l="1"/>
  <c r="V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T135" i="12" l="1"/>
  <c r="S135" i="12"/>
  <c r="P135" i="12"/>
  <c r="O135" i="12"/>
  <c r="U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T136" i="12" l="1"/>
  <c r="P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O137" i="12" s="1"/>
  <c r="I137" i="12"/>
  <c r="C137" i="12"/>
  <c r="AT137" i="12"/>
  <c r="A138" i="12" a="1"/>
  <c r="R137" i="12" l="1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S138" i="12" l="1"/>
  <c r="O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Q139" i="12" l="1"/>
  <c r="O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Q140" i="12" s="1"/>
  <c r="K140" i="12"/>
  <c r="AB140" i="12"/>
  <c r="D140" i="12"/>
  <c r="Z140" i="12"/>
  <c r="AF140" i="12"/>
  <c r="AK140" i="12"/>
  <c r="A141" i="12" a="1"/>
  <c r="V140" i="12" l="1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P145" i="12" s="1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Q145" i="12" s="1"/>
  <c r="AD145" i="12"/>
  <c r="A146" i="12" a="1"/>
  <c r="T145" i="12" l="1"/>
  <c r="O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N146" i="12" l="1"/>
  <c r="R146" i="12"/>
  <c r="Q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Q149" i="12" l="1"/>
  <c r="O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O151" i="12" l="1"/>
  <c r="R151" i="12"/>
  <c r="P151" i="12"/>
  <c r="U151" i="12"/>
  <c r="T151" i="12"/>
  <c r="AU151" i="12"/>
  <c r="N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Q152" i="12" l="1"/>
  <c r="U152" i="12"/>
  <c r="S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O153" i="12" l="1"/>
  <c r="P153" i="12"/>
  <c r="T153" i="12"/>
  <c r="N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P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R155" i="12" l="1"/>
  <c r="U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O159" i="12" l="1"/>
  <c r="U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U161" i="12" l="1"/>
  <c r="R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T162" i="12" l="1"/>
  <c r="Q162" i="12"/>
  <c r="P162" i="12"/>
  <c r="S162" i="12"/>
  <c r="U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R164" i="12" l="1"/>
  <c r="O164" i="12"/>
  <c r="Q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R165" i="12" l="1"/>
  <c r="U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O166" i="12"/>
  <c r="R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O167" i="12" l="1"/>
  <c r="R167" i="12"/>
  <c r="N167" i="12"/>
  <c r="P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U168" i="12" s="1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T168" i="12" l="1"/>
  <c r="P168" i="12"/>
  <c r="V168" i="12"/>
  <c r="O168" i="12"/>
  <c r="Q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T172" i="12" l="1"/>
  <c r="P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R173" i="12" l="1"/>
  <c r="U173" i="12"/>
  <c r="T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P174" i="12" s="1"/>
  <c r="E174" i="12"/>
  <c r="AE174" i="12"/>
  <c r="AK174" i="12"/>
  <c r="AQ174" i="12"/>
  <c r="AM174" i="12"/>
  <c r="B174" i="12"/>
  <c r="AC174" i="12"/>
  <c r="A175" i="12" a="1"/>
  <c r="S174" i="12" l="1"/>
  <c r="O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U175" i="12" l="1"/>
  <c r="S175" i="12"/>
  <c r="T175" i="12"/>
  <c r="Q175" i="12"/>
  <c r="N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O177" i="12" s="1"/>
  <c r="AD177" i="12"/>
  <c r="C177" i="12"/>
  <c r="K177" i="12"/>
  <c r="AR177" i="12"/>
  <c r="AK177" i="12"/>
  <c r="L177" i="12"/>
  <c r="Z177" i="12"/>
  <c r="AG177" i="12"/>
  <c r="AH177" i="12"/>
  <c r="A178" i="12" a="1"/>
  <c r="R177" i="12" l="1"/>
  <c r="N177" i="12"/>
  <c r="Q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V179" i="12" l="1"/>
  <c r="N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Q180" i="12" l="1"/>
  <c r="S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N183" i="12" l="1"/>
  <c r="Q183" i="12"/>
  <c r="AU183" i="12"/>
  <c r="P183" i="12"/>
  <c r="T183" i="12"/>
  <c r="V183" i="12"/>
  <c r="O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T184" i="12" l="1"/>
  <c r="U184" i="12"/>
  <c r="R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Q185" i="12" s="1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O185" i="12" l="1"/>
  <c r="N185" i="12"/>
  <c r="P185" i="12"/>
  <c r="V185" i="12"/>
  <c r="R185" i="12"/>
  <c r="AU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V186" i="12" l="1"/>
  <c r="P186" i="12"/>
  <c r="O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R189" i="12"/>
  <c r="S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P190" i="12" l="1"/>
  <c r="S190" i="12"/>
  <c r="N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P191" i="12" s="1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Q191" i="12" l="1"/>
  <c r="N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R192" i="12" l="1"/>
  <c r="Q192" i="12"/>
  <c r="S192" i="12"/>
  <c r="P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P195" i="12" l="1"/>
  <c r="T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V196" i="12"/>
  <c r="R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U197" i="12" l="1"/>
  <c r="N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U198" i="12" s="1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S200" i="12" l="1"/>
  <c r="R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N201" i="12" l="1"/>
  <c r="T201" i="12"/>
  <c r="V201" i="12"/>
  <c r="O201" i="12"/>
  <c r="S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O203" i="12" l="1"/>
  <c r="R203" i="12"/>
  <c r="P203" i="12"/>
  <c r="U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P204" i="12" l="1"/>
  <c r="R204" i="12"/>
  <c r="N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N205" i="12" s="1"/>
  <c r="AM205" i="12"/>
  <c r="AD205" i="12"/>
  <c r="A206" i="12" a="1"/>
  <c r="R205" i="12" l="1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N206" i="12" s="1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T206" i="12" l="1"/>
  <c r="U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Q207" i="12" l="1"/>
  <c r="R207" i="12"/>
  <c r="N207" i="12"/>
  <c r="S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U208" i="12" s="1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O208" i="12" s="1"/>
  <c r="AT208" i="12"/>
  <c r="A209" i="12" a="1"/>
  <c r="R208" i="12" l="1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Q210" i="12" l="1"/>
  <c r="O210" i="12"/>
  <c r="T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R211" i="12" l="1"/>
  <c r="Q211" i="12"/>
  <c r="V211" i="12"/>
  <c r="P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N212" i="12" l="1"/>
  <c r="Q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O213" i="12" s="1"/>
  <c r="C213" i="12"/>
  <c r="A214" i="12" a="1"/>
  <c r="P213" i="12" l="1"/>
  <c r="U213" i="12"/>
  <c r="V213" i="12"/>
  <c r="N213" i="12"/>
  <c r="R213" i="12"/>
  <c r="Q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O215" i="12" l="1"/>
  <c r="T215" i="12"/>
  <c r="Q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N216" i="12" l="1"/>
  <c r="O216" i="12"/>
  <c r="V216" i="12"/>
  <c r="R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Q217" i="12" l="1"/>
  <c r="T217" i="12"/>
  <c r="N217" i="12"/>
  <c r="P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U218" i="12"/>
  <c r="T218" i="12"/>
  <c r="S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P222" i="12"/>
  <c r="S222" i="12"/>
  <c r="N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S223" i="12" s="1"/>
  <c r="K223" i="12"/>
  <c r="AA223" i="12"/>
  <c r="AP223" i="12"/>
  <c r="J223" i="12"/>
  <c r="AD223" i="12"/>
  <c r="AO223" i="12"/>
  <c r="AG223" i="12"/>
  <c r="U223" i="12" s="1"/>
  <c r="Y223" i="12"/>
  <c r="A224" i="12" a="1"/>
  <c r="O223" i="12" l="1"/>
  <c r="T223" i="12"/>
  <c r="V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Q224" i="12" s="1"/>
  <c r="AD224" i="12"/>
  <c r="B224" i="12"/>
  <c r="A225" i="12" a="1"/>
  <c r="O224" i="12" l="1"/>
  <c r="P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P227" i="12" l="1"/>
  <c r="N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O228" i="12" l="1"/>
  <c r="P228" i="12"/>
  <c r="N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P229" i="12" l="1"/>
  <c r="O229" i="12"/>
  <c r="V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U230" i="12" s="1"/>
  <c r="C230" i="12"/>
  <c r="A231" i="12" a="1"/>
  <c r="Q230" i="12" l="1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O231" i="12" l="1"/>
  <c r="T231" i="12"/>
  <c r="R231" i="12"/>
  <c r="V231" i="12"/>
  <c r="Q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Q232" i="12" l="1"/>
  <c r="N232" i="12"/>
  <c r="P232" i="12"/>
  <c r="S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R234" i="12" l="1"/>
  <c r="Q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N235" i="12"/>
  <c r="V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R238" i="12" l="1"/>
  <c r="Q238" i="12"/>
  <c r="N238" i="12"/>
  <c r="U238" i="12"/>
  <c r="V238" i="12"/>
  <c r="T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V240" i="12"/>
  <c r="O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R241" i="12" l="1"/>
  <c r="U241" i="12"/>
  <c r="Q241" i="12"/>
  <c r="O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Q242" i="12"/>
  <c r="S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O243" i="12" l="1"/>
  <c r="S243" i="12"/>
  <c r="N243" i="12"/>
  <c r="R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N245" i="12" l="1"/>
  <c r="Q245" i="12"/>
  <c r="V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U246" i="12"/>
  <c r="N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V247" i="12" l="1"/>
  <c r="P247" i="12"/>
  <c r="N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Q249" i="12" s="1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P249" i="12" l="1"/>
  <c r="T249" i="12"/>
  <c r="R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U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V253" i="12" s="1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R253" i="12" s="1"/>
  <c r="AA253" i="12"/>
  <c r="A254" i="12" a="1"/>
  <c r="U253" i="12" l="1"/>
  <c r="O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U254" i="12" l="1"/>
  <c r="O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P255" i="12" l="1"/>
  <c r="O255" i="12"/>
  <c r="U255" i="12"/>
  <c r="Q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O256" i="12"/>
  <c r="S256" i="12"/>
  <c r="N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U257" i="12" s="1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V258" i="12"/>
  <c r="P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Q259" i="12" s="1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P260" i="12" l="1"/>
  <c r="V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P261" i="12" s="1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O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R262" i="12"/>
  <c r="Q262" i="12"/>
  <c r="P262" i="12"/>
  <c r="O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P263" i="12" s="1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U263" i="12" l="1"/>
  <c r="N263" i="12"/>
  <c r="R263" i="12"/>
  <c r="V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S265" i="12" l="1"/>
  <c r="U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N266" i="12" l="1"/>
  <c r="U266" i="12"/>
  <c r="R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P268" i="12" l="1"/>
  <c r="N268" i="12"/>
  <c r="O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Q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U270" i="12" l="1"/>
  <c r="S270" i="12"/>
  <c r="O270" i="12"/>
  <c r="N270" i="12"/>
  <c r="R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P271" i="12" l="1"/>
  <c r="T271" i="12"/>
  <c r="U271" i="12"/>
  <c r="V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Q272" i="12" l="1"/>
  <c r="R272" i="12"/>
  <c r="V272" i="12"/>
  <c r="U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P274" i="12" l="1"/>
  <c r="Q274" i="12"/>
  <c r="T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V275" i="12" s="1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U275" i="12" l="1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U278" i="12" s="1"/>
  <c r="D278" i="12"/>
  <c r="AB278" i="12"/>
  <c r="A279" i="12" a="1"/>
  <c r="V278" i="12" l="1"/>
  <c r="O278" i="12"/>
  <c r="R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N279" i="12" s="1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S279" i="12" l="1"/>
  <c r="T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R280" i="12" l="1"/>
  <c r="N280" i="12"/>
  <c r="O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N281" i="12" s="1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O281" i="12" l="1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P282" i="12" l="1"/>
  <c r="S282" i="12"/>
  <c r="R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P283" i="12" s="1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S283" i="12" l="1"/>
  <c r="N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V284" i="12" l="1"/>
  <c r="R284" i="12"/>
  <c r="N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S286" i="12" s="1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Q286" i="12" l="1"/>
  <c r="T286" i="12"/>
  <c r="O286" i="12"/>
  <c r="V286" i="12"/>
  <c r="AU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P287" i="12" l="1"/>
  <c r="V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Q288" i="12"/>
  <c r="U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P289" i="12" l="1"/>
  <c r="S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R290" i="12"/>
  <c r="T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Q292" i="12" s="1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R292" i="12" l="1"/>
  <c r="N292" i="12"/>
  <c r="U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O293" i="12" l="1"/>
  <c r="T293" i="12"/>
  <c r="U293" i="12"/>
  <c r="Q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S295" i="12" l="1"/>
  <c r="U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V296" i="12" l="1"/>
  <c r="T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U297" i="12" s="1"/>
  <c r="AH297" i="12"/>
  <c r="A298" i="12" a="1"/>
  <c r="R297" i="12" l="1"/>
  <c r="T297" i="12"/>
  <c r="V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A299" i="12" a="1"/>
  <c r="U298" i="12" l="1"/>
  <c r="S298" i="12"/>
  <c r="T298" i="12"/>
  <c r="N298" i="12"/>
  <c r="Q298" i="12"/>
  <c r="V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V299" i="12" l="1"/>
  <c r="T299" i="12"/>
  <c r="N299" i="12"/>
  <c r="O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V300" i="12"/>
  <c r="N300" i="12"/>
  <c r="O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<sst xmlns="http://schemas.openxmlformats.org/spreadsheetml/2006/main" count="2325" uniqueCount="1414">
  <si>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</si>
  <si>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</si>
  <si>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</si>
  <si>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</si>
  <si>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</si>
  <si>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</si>
  <si>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</si>
  <si>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</si>
  <si>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</si>
  <si>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</si>
  <si>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</si>
  <si>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</si>
  <si>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</si>
  <si>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</si>
  <si>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</si>
  <si>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</si>
  <si>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</si>
  <si>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</si>
  <si>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</si>
  <si>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</si>
  <si>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</si>
  <si>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</si>
  <si>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</si>
  <si>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</si>
  <si>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</si>
  <si>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</si>
  <si>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</si>
  <si>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</si>
  <si>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</si>
  <si>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</si>
  <si>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</si>
  <si>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</si>
  <si>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</si>
  <si>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</si>
  <si>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</si>
  <si>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</si>
  <si>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</si>
  <si>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</si>
  <si>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</si>
  <si>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</si>
  <si>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</si>
  <si>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</si>
  <si>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</si>
  <si>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</si>
  <si>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</si>
  <si>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</si>
  <si>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</si>
  <si>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</si>
  <si>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</si>
  <si>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</si>
  <si>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</si>
  <si>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</si>
  <si>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</si>
  <si>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</si>
  <si>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</si>
  <si>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</si>
  <si>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</si>
  <si>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</si>
  <si>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</si>
  <si>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</si>
  <si>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</si>
  <si>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</si>
  <si>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</si>
  <si>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</si>
  <si>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</si>
  <si>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</si>
  <si>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</si>
  <si>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</si>
  <si>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</si>
  <si>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</si>
  <si>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</si>
  <si>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</si>
  <si>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</si>
  <si>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</si>
  <si>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</si>
  <si>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</si>
  <si>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</si>
  <si>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</si>
  <si>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</si>
  <si>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</si>
  <si>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</si>
  <si>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</si>
  <si>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</si>
  <si>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</si>
  <si>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</si>
  <si>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</si>
  <si>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</si>
  <si>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</si>
  <si>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</si>
  <si>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</si>
  <si>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</si>
  <si>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</si>
  <si>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</si>
  <si>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</si>
  <si>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</si>
  <si>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</si>
  <si>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</si>
  <si>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</si>
  <si>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</si>
  <si>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</si>
  <si>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</si>
  <si>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</si>
  <si>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</si>
  <si>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</si>
  <si>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</si>
  <si>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</si>
  <si>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</si>
  <si>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</si>
  <si>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</si>
  <si>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</si>
  <si>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</si>
  <si>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</si>
  <si>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</si>
  <si>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</si>
  <si>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</si>
  <si>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</si>
  <si>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</si>
  <si>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</si>
  <si>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</si>
  <si>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</si>
  <si>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</si>
  <si>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</si>
  <si>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</si>
  <si>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</si>
  <si>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</si>
  <si>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</si>
  <si>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</si>
  <si>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</si>
  <si>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</si>
  <si>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</si>
  <si>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</si>
  <si>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</si>
  <si>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</si>
  <si>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</si>
  <si>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</si>
  <si>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</si>
  <si>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</si>
  <si>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</si>
  <si>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</si>
  <si>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</si>
  <si>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</si>
  <si>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</si>
  <si>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</si>
  <si>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</si>
  <si>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</si>
  <si>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</si>
  <si>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</si>
  <si>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</si>
  <si>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</si>
  <si>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</si>
  <si>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</si>
  <si>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</si>
  <si>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</si>
  <si>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</si>
  <si>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</si>
  <si>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</si>
  <si>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</si>
  <si>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</si>
  <si>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</si>
  <si>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</si>
  <si>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</si>
  <si>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</si>
  <si>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</si>
  <si>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</si>
  <si>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</si>
  <si>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</si>
  <si>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</si>
  <si>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</si>
  <si>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</si>
  <si>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</si>
  <si>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</si>
  <si>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</si>
  <si>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</si>
  <si>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</si>
  <si>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</si>
  <si>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</si>
  <si>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</si>
  <si>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</si>
  <si>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</si>
  <si>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</si>
  <si>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</si>
  <si>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</si>
  <si>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</si>
  <si>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</si>
  <si>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</si>
  <si>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</si>
  <si>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</si>
  <si>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</si>
  <si>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</si>
  <si>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</si>
  <si>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</si>
  <si>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</si>
  <si>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</si>
  <si>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</si>
  <si>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</si>
  <si>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</si>
  <si>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</si>
  <si>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</si>
  <si>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</si>
  <si>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</si>
  <si>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</si>
  <si>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</si>
  <si>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</si>
  <si>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</si>
  <si>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</si>
  <si>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</si>
  <si>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</si>
  <si>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</si>
  <si>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</si>
  <si>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</si>
  <si>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</si>
  <si>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</si>
  <si>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</si>
  <si>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</si>
  <si>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</si>
  <si>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</si>
  <si>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</si>
  <si>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</si>
  <si>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</si>
  <si>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</si>
  <si>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</si>
  <si>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</si>
  <si>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</si>
  <si>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</si>
  <si>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</si>
  <si>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</si>
  <si>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</si>
  <si>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</si>
  <si>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</si>
  <si>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</si>
  <si>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</si>
  <si>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</si>
  <si>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</si>
  <si>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</si>
  <si>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</si>
  <si>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</si>
  <si>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</si>
  <si>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</si>
  <si>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</si>
  <si>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</si>
  <si>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</si>
  <si>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</si>
  <si>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</si>
  <si>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</si>
  <si>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</si>
  <si>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</si>
  <si>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</si>
  <si>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</si>
  <si>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</si>
  <si>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</si>
  <si>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</si>
  <si>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</si>
  <si>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</si>
  <si>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</si>
  <si>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</si>
  <si>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</si>
  <si>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</si>
  <si>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</si>
  <si>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</si>
  <si>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</si>
  <si>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</si>
  <si>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</si>
  <si>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</si>
  <si>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</si>
  <si>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</si>
  <si>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</si>
  <si>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</si>
  <si>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</si>
  <si>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</si>
  <si>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</si>
  <si>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</si>
  <si>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</si>
  <si>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</si>
  <si>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</si>
  <si>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</si>
  <si>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</si>
  <si>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</si>
  <si>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</si>
  <si>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</si>
  <si>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</si>
  <si>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</si>
  <si>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</si>
  <si>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</si>
  <si>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</si>
  <si>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</si>
  <si>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</si>
  <si>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</si>
  <si>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</si>
  <si>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</si>
  <si>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</si>
  <si>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</si>
  <si>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</si>
  <si>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</si>
  <si>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</si>
  <si>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</si>
  <si>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</si>
  <si>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</si>
  <si>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</si>
  <si>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</si>
  <si>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</si>
  <si>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</si>
  <si>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</si>
  <si>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</si>
  <si>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</si>
  <si>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</si>
  <si>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</si>
  <si>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</si>
  <si>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</si>
  <si>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</si>
  <si>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</si>
  <si>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</si>
  <si>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</si>
  <si>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</si>
  <si>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</si>
  <si>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</si>
  <si>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</si>
  <si>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</si>
  <si>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</si>
  <si>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</si>
  <si>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</si>
  <si>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</si>
  <si>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</si>
  <si>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</si>
  <si>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</si>
  <si>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</si>
  <si>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</si>
  <si>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</si>
  <si>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</si>
  <si>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</si>
  <si>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</si>
  <si>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</si>
  <si>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</si>
  <si>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</si>
  <si>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</si>
  <si>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</si>
  <si>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</si>
  <si>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</si>
  <si>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</si>
  <si>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</si>
  <si>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</si>
  <si>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</si>
  <si>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</si>
  <si>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</si>
  <si>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</si>
  <si>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</si>
  <si>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</si>
  <si>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</si>
  <si>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</si>
  <si>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</si>
  <si>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</si>
  <si>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</si>
  <si>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</si>
  <si>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</si>
  <si>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</si>
  <si>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</si>
  <si>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</si>
  <si>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</si>
  <si>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</si>
  <si>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</si>
  <si>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</si>
  <si>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</si>
  <si>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</si>
  <si>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</si>
  <si>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</si>
  <si>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</si>
  <si>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</si>
  <si>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</si>
  <si>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</si>
  <si>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</si>
  <si>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</si>
  <si>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</si>
  <si>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</si>
  <si>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</si>
  <si>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</si>
  <si>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</si>
  <si>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</si>
  <si>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</si>
  <si>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</si>
  <si>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</si>
  <si>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</si>
  <si>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</si>
  <si>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</si>
  <si>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</si>
  <si>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</si>
  <si>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</si>
  <si>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</si>
  <si>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</si>
  <si>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</si>
  <si>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</si>
  <si>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</si>
  <si>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</si>
  <si>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</si>
  <si>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</si>
  <si>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</si>
  <si>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</si>
  <si>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</si>
  <si>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</si>
  <si>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</si>
  <si>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</si>
  <si>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</si>
  <si>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</si>
  <si>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</si>
  <si>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</si>
  <si>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</si>
  <si>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</si>
  <si>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</si>
  <si>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</si>
  <si>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</si>
  <si>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</si>
  <si>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</si>
  <si>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</si>
  <si>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</si>
  <si>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</si>
  <si>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</si>
  <si>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</si>
  <si>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</si>
  <si>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</si>
  <si>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</si>
  <si>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</si>
  <si>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</si>
  <si>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</si>
  <si>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</si>
  <si>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</si>
  <si>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</si>
  <si>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</si>
  <si>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</si>
  <si>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</si>
  <si>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</si>
  <si>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</si>
  <si>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</si>
  <si>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</si>
  <si>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</si>
  <si>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</si>
  <si>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</si>
  <si>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</si>
  <si>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</si>
  <si>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</si>
  <si>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</si>
  <si>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</si>
  <si>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</si>
  <si>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</si>
  <si>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</si>
  <si>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</si>
  <si>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</si>
  <si>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</si>
  <si>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</si>
  <si>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</si>
  <si>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</si>
  <si>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</si>
  <si>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</si>
  <si>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</si>
  <si>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</si>
  <si>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</si>
  <si>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</si>
  <si>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</si>
  <si>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</si>
  <si>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</si>
  <si>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</si>
  <si>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</si>
  <si>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</si>
  <si>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</si>
  <si>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</si>
  <si>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</si>
  <si>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</si>
  <si>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</si>
  <si>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</si>
  <si>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</si>
  <si>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</si>
  <si>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</si>
  <si>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</si>
  <si>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</si>
  <si>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</si>
  <si>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</si>
  <si>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</si>
  <si>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</si>
  <si>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</si>
  <si>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</si>
  <si>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</si>
  <si>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</si>
  <si>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</si>
  <si>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</si>
  <si>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</si>
  <si>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</si>
  <si>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</si>
  <si>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</si>
  <si>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</si>
  <si>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</si>
  <si>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</si>
  <si>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</si>
  <si>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</si>
  <si>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</si>
  <si>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</si>
  <si>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</si>
  <si>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</si>
  <si>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</si>
  <si>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</si>
  <si>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</si>
  <si>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</si>
  <si>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</si>
  <si>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</si>
  <si>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</si>
  <si>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</si>
  <si>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</si>
  <si>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</si>
  <si>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</si>
  <si>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</si>
  <si>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</si>
  <si>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</si>
  <si>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</si>
  <si>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</si>
  <si>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</si>
  <si>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</si>
  <si>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</si>
  <si>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</si>
  <si>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</si>
  <si>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</si>
  <si>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</si>
  <si>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</si>
  <si>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</si>
  <si>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</si>
  <si>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</si>
  <si>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</si>
  <si>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</si>
  <si>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</si>
  <si>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</si>
  <si>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</si>
  <si>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</si>
  <si>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</si>
  <si>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</si>
  <si>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</si>
  <si>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</si>
  <si>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</si>
  <si>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</si>
  <si>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</si>
  <si>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</si>
  <si>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</si>
  <si>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</si>
  <si>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</si>
  <si>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</si>
  <si>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</si>
  <si>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</si>
  <si>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</si>
  <si>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</si>
  <si>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</si>
  <si>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</si>
  <si>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</si>
  <si>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</si>
  <si>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</si>
  <si>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</si>
  <si>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</si>
  <si>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</si>
  <si>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</si>
  <si>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</si>
  <si>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</si>
  <si>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</si>
  <si>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</si>
  <si>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</si>
  <si>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</si>
  <si>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</si>
  <si>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</si>
  <si>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</si>
  <si>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</si>
  <si>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</si>
  <si>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</si>
  <si>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</si>
  <si>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</si>
  <si>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</si>
  <si>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</si>
  <si>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</si>
  <si>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</si>
  <si>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</si>
  <si>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</si>
  <si>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</si>
  <si>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</si>
  <si>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</si>
  <si>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</si>
  <si>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</si>
  <si>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</si>
  <si>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</si>
  <si>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</si>
  <si>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</si>
  <si>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</si>
  <si>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</si>
  <si>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</si>
  <si>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</si>
  <si>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</si>
  <si>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</si>
  <si>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</si>
  <si>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</si>
  <si>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</si>
  <si>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</si>
  <si>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</si>
  <si>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</si>
  <si>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</si>
  <si>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</si>
  <si>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</si>
  <si>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</si>
  <si>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</si>
  <si>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</si>
  <si>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</si>
  <si>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</si>
  <si>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</si>
  <si>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</si>
  <si>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</si>
  <si>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</si>
  <si>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</si>
  <si>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</si>
  <si>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</si>
  <si>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</si>
  <si>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</si>
  <si>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</si>
  <si>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</si>
  <si>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</si>
  <si>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</si>
  <si>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</si>
  <si>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</si>
  <si>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</si>
  <si>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</si>
  <si>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</si>
  <si>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</si>
  <si>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</si>
  <si>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</si>
  <si>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</si>
  <si>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</si>
  <si>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</si>
  <si>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</si>
  <si>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</si>
  <si>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</si>
  <si>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</si>
  <si>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</si>
  <si>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</si>
  <si>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</si>
  <si>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</si>
  <si>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</si>
  <si>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</si>
  <si>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</si>
  <si>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</si>
  <si>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</si>
  <si>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</si>
  <si>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</si>
  <si>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</si>
  <si>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</si>
  <si>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</si>
  <si>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</si>
  <si>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</si>
  <si>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</si>
  <si>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</si>
  <si>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</si>
  <si>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</si>
  <si>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</si>
  <si>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</si>
  <si>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</si>
  <si>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</si>
  <si>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</si>
  <si>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</si>
  <si>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</si>
  <si>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</si>
  <si>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</si>
  <si>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</si>
  <si>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</si>
  <si>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</si>
  <si>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</si>
  <si>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</si>
  <si>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</si>
  <si>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</si>
  <si>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</si>
  <si>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</si>
  <si>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</si>
  <si>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</si>
  <si>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</si>
  <si>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</si>
  <si>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</si>
  <si>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</si>
  <si>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</si>
  <si>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</si>
  <si>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</si>
  <si>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</si>
  <si>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</si>
  <si>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</si>
  <si>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</si>
  <si>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</si>
  <si>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</si>
  <si>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</si>
  <si>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</si>
  <si>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</si>
  <si>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</si>
  <si>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</si>
  <si>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</si>
  <si>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</si>
  <si>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</si>
  <si>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</si>
  <si>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</si>
  <si>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</si>
  <si>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</si>
  <si>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</si>
  <si>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</si>
  <si>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</si>
  <si>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</si>
  <si>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</si>
  <si>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</si>
  <si>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</si>
  <si>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</si>
  <si>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</si>
  <si>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</si>
  <si>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</si>
  <si>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</si>
  <si>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</si>
  <si>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</si>
  <si>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</si>
  <si>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</si>
  <si>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</si>
  <si>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</si>
  <si>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</si>
  <si>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</si>
  <si>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</si>
  <si>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</si>
  <si>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</si>
  <si>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</si>
  <si>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</si>
  <si>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</si>
  <si>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</si>
  <si>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</si>
  <si>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</si>
  <si>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</si>
  <si>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</si>
  <si>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</si>
  <si>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</si>
  <si>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</si>
  <si>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</si>
  <si>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</si>
  <si>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</si>
  <si>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</si>
  <si>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</si>
  <si>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</si>
  <si>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</si>
  <si>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</si>
  <si>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</si>
  <si>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</si>
  <si>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</si>
  <si>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</si>
  <si>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</si>
  <si>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</si>
  <si>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</si>
  <si>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</si>
  <si>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</si>
  <si>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</si>
  <si>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</si>
  <si>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</si>
  <si>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</si>
  <si>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</si>
  <si>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</si>
  <si>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</si>
  <si>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</si>
  <si>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</si>
  <si>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</si>
  <si>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</si>
  <si>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</si>
  <si>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</si>
  <si>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</si>
  <si>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</si>
  <si>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</si>
  <si>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</si>
  <si>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</si>
  <si>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</si>
  <si>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</si>
  <si>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</si>
  <si>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</si>
  <si>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</si>
  <si>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</si>
  <si>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</si>
  <si>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</si>
  <si>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</si>
  <si>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</si>
  <si>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</si>
  <si>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</si>
  <si>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</si>
  <si>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</si>
  <si>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</si>
  <si>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</si>
  <si>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</si>
  <si>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</si>
  <si>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</si>
  <si>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</si>
  <si>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</si>
  <si>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</si>
  <si>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</si>
  <si>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</si>
  <si>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</si>
  <si>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</si>
  <si>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</si>
  <si>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</si>
  <si>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</si>
  <si>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</si>
  <si>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</si>
  <si>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</si>
  <si>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</si>
  <si>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</si>
  <si>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</si>
  <si>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</si>
  <si>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</si>
  <si>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</si>
  <si>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</si>
  <si>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</si>
  <si>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</si>
  <si>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</si>
  <si>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</si>
  <si>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</si>
  <si>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</si>
  <si>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</si>
  <si>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</si>
  <si>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</si>
  <si>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</si>
  <si>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</si>
  <si>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</si>
  <si>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</si>
  <si>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</si>
  <si>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</si>
  <si>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</si>
  <si>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</si>
  <si>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</si>
  <si>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</si>
  <si>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</si>
  <si>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</si>
  <si>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</si>
  <si>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</si>
  <si>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</si>
  <si>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</si>
  <si>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</si>
  <si>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</si>
  <si>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</si>
  <si>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</si>
  <si>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</si>
  <si>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</si>
  <si>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</si>
  <si>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</si>
  <si>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</si>
  <si>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</si>
  <si>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</si>
  <si>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</si>
  <si>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</si>
  <si>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</si>
  <si>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</si>
  <si>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</si>
  <si>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</si>
  <si>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</si>
  <si>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</si>
  <si>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</si>
  <si>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</si>
  <si>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</si>
  <si>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</si>
  <si>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</si>
  <si>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</si>
  <si>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</si>
  <si>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</si>
  <si>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</si>
  <si>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</si>
  <si>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</si>
  <si>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</si>
  <si>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</si>
  <si>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</si>
  <si>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</si>
  <si>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</si>
  <si>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</si>
  <si>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</si>
  <si>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</si>
  <si>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</si>
  <si>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</si>
  <si>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</si>
  <si>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</si>
  <si>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</si>
  <si>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</si>
  <si>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</si>
  <si>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</si>
  <si>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</si>
  <si>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</si>
  <si>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</si>
  <si>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</si>
  <si>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</si>
  <si>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</si>
  <si>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</si>
  <si>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</si>
  <si>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</si>
  <si>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</si>
  <si>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</si>
  <si>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</si>
  <si>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</si>
  <si>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</si>
  <si>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</si>
  <si>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</si>
  <si>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</si>
  <si>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</si>
  <si>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</si>
  <si>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</si>
  <si>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</si>
  <si>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</si>
  <si>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</si>
  <si>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</si>
  <si>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</si>
  <si>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</si>
  <si>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</si>
  <si>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</si>
  <si>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</si>
  <si>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</si>
  <si>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</si>
  <si>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</si>
  <si>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</si>
  <si>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</si>
  <si>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</si>
  <si>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</si>
  <si>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</si>
  <si>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</si>
  <si>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</si>
  <si>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</si>
  <si>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</si>
  <si>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</si>
  <si>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</si>
  <si>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</si>
  <si>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</si>
  <si>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</si>
  <si>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</si>
  <si>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</si>
  <si>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</si>
  <si>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</si>
  <si>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</si>
  <si>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</si>
  <si>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</si>
  <si>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</si>
  <si>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</si>
  <si>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</si>
  <si>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</si>
  <si>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</si>
  <si>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</si>
  <si>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</si>
  <si>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</si>
  <si>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</si>
  <si>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</si>
  <si>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</si>
  <si>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</si>
  <si>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</si>
  <si>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</si>
  <si>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</si>
  <si>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</si>
  <si>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</si>
  <si>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</si>
  <si>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</si>
  <si>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</si>
  <si>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</si>
  <si>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</si>
  <si>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</si>
  <si>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</si>
  <si>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</si>
  <si>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</si>
  <si>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</si>
  <si>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</si>
  <si>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</si>
  <si>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</si>
  <si>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</si>
  <si>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</si>
  <si>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</si>
  <si>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</si>
  <si>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</si>
  <si>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</si>
  <si>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</si>
  <si>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</si>
  <si>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</si>
  <si>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</si>
  <si>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</si>
  <si>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</si>
  <si>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</si>
  <si>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</si>
  <si>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</si>
  <si>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</si>
  <si>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</si>
  <si>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</si>
  <si>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</si>
  <si>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</si>
  <si>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</si>
  <si>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</si>
  <si>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</si>
  <si>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</si>
  <si>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</si>
  <si>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</si>
  <si>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</si>
  <si>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</si>
  <si>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</si>
  <si>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</si>
  <si>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</si>
  <si>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</si>
  <si>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</si>
  <si>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</si>
  <si>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</si>
  <si>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</si>
  <si>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</si>
  <si>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</si>
  <si>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</si>
  <si>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</si>
  <si>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</si>
  <si>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</si>
  <si>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</si>
  <si>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</si>
  <si>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</si>
  <si>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</si>
  <si>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</si>
  <si>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</si>
  <si>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</si>
  <si>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</si>
  <si>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</si>
  <si>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</si>
  <si>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</si>
  <si>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</si>
  <si>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</si>
  <si>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</si>
  <si>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</si>
  <si>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</si>
  <si>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</si>
  <si>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</si>
  <si>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</si>
  <si>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</si>
  <si>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</si>
  <si>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</si>
  <si>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</si>
  <si>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</si>
  <si>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</si>
  <si>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</si>
  <si>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</si>
  <si>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</si>
  <si>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</si>
  <si>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</si>
  <si>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</si>
  <si>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</si>
  <si>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</si>
  <si>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</si>
  <si>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</si>
  <si>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</si>
  <si>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</si>
  <si>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</si>
  <si>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</si>
  <si>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</si>
  <si>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</si>
  <si>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</si>
  <si>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</si>
  <si>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</si>
  <si>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</si>
  <si>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</si>
  <si>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</si>
  <si>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</si>
  <si>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</si>
  <si>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</si>
  <si>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</si>
  <si>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</si>
  <si>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</si>
  <si>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</si>
  <si>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</si>
  <si>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</si>
  <si>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</si>
  <si>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</si>
  <si>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</si>
  <si>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</si>
  <si>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</si>
  <si>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</si>
  <si>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</si>
  <si>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</si>
  <si>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</si>
  <si>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</si>
  <si>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</si>
  <si>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</si>
  <si>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</si>
  <si>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</si>
  <si>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</si>
  <si>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</si>
  <si>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</si>
  <si>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</si>
  <si>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</si>
  <si>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</si>
  <si>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</si>
  <si>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</si>
  <si>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</si>
  <si>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</si>
  <si>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</si>
  <si>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</si>
  <si>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</si>
  <si>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</si>
  <si>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</si>
  <si>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</si>
  <si>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</si>
  <si>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</si>
  <si>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</si>
  <si>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</si>
  <si>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</si>
  <si>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</si>
  <si>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</si>
  <si>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</si>
  <si>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</si>
  <si>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</si>
  <si>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</si>
  <si>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</si>
  <si>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</si>
  <si>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</si>
  <si>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</si>
  <si>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</si>
  <si>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</si>
  <si>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</si>
  <si>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</si>
  <si>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</si>
  <si>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</si>
  <si>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</si>
  <si>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</si>
  <si>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</si>
  <si>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</si>
  <si>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</si>
  <si>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</si>
  <si>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</si>
  <si>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</si>
  <si>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</si>
  <si>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</si>
  <si>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</si>
  <si>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</si>
  <si>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</si>
  <si>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</si>
  <si>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</si>
  <si>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</si>
  <si>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</si>
  <si>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</si>
  <si>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</si>
  <si>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</si>
  <si>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</si>
  <si>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</si>
  <si>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</si>
  <si>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</si>
  <si>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</si>
  <si>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</si>
  <si>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</si>
  <si>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</si>
  <si>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</si>
  <si>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</si>
  <si>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</si>
  <si>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</si>
  <si>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</si>
  <si>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</si>
  <si>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</si>
  <si>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</si>
  <si>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</si>
  <si>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</si>
  <si>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</si>
  <si>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</si>
  <si>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</si>
  <si>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</si>
  <si>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</si>
  <si>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</si>
  <si>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</si>
  <si>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</si>
  <si>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</si>
  <si>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</si>
  <si>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</si>
  <si>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</si>
  <si>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</si>
  <si>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</si>
  <si>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</si>
  <si>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</si>
  <si>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</si>
  <si>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</si>
  <si>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</si>
  <si>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</si>
  <si>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</si>
  <si>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</si>
  <si>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</si>
  <si>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</si>
  <si>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</si>
  <si>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</si>
  <si>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</si>
  <si>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</si>
  <si>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</si>
  <si>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</si>
  <si>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</si>
  <si>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</si>
  <si>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</si>
  <si>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</si>
  <si>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</si>
  <si>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</si>
  <si>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</si>
  <si>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</si>
  <si>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</si>
  <si>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</si>
  <si>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</si>
  <si>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</si>
  <si>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</si>
  <si>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</si>
  <si>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</si>
  <si>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</si>
  <si>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</si>
  <si>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</si>
  <si>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</si>
  <si>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</si>
  <si>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</si>
  <si>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</si>
  <si>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</si>
  <si>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</si>
  <si>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</si>
  <si>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</si>
  <si>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</si>
  <si>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</si>
  <si>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</si>
  <si>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</si>
  <si>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</si>
  <si>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</si>
  <si>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</si>
  <si>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</si>
  <si>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</si>
  <si>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</si>
  <si>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</si>
  <si>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</si>
  <si>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</si>
  <si>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</si>
  <si>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</si>
  <si>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</si>
  <si>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</si>
  <si>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</si>
  <si>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</si>
  <si>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</si>
  <si>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</si>
  <si>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</si>
  <si>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</si>
  <si>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</si>
  <si>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</si>
  <si>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</si>
  <si>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</si>
  <si>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</si>
  <si>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</si>
  <si>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</si>
  <si>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</si>
  <si>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</si>
  <si>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</si>
  <si>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</si>
  <si>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</si>
  <si>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</si>
  <si>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</si>
  <si>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</si>
  <si>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</si>
  <si>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</si>
  <si>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</si>
  <si>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</si>
  <si>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</si>
  <si>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</si>
  <si>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</si>
  <si>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</si>
  <si>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</si>
  <si>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</si>
  <si>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</si>
  <si>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</si>
  <si>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</si>
  <si>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</si>
  <si>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</si>
  <si>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</si>
  <si>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</si>
  <si>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</si>
  <si>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</si>
  <si>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</si>
  <si>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</si>
  <si>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</si>
  <si>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</si>
  <si>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</si>
  <si>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</si>
  <si>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</si>
  <si>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</si>
  <si>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</si>
  <si>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</si>
  <si>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</si>
  <si>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</si>
  <si>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</si>
  <si>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</si>
  <si>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</si>
  <si>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</si>
  <si>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</si>
  <si>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</si>
  <si>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</si>
  <si>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</si>
  <si>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</si>
  <si>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</si>
  <si>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</si>
  <si>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</si>
  <si>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</si>
  <si>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</si>
  <si>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</si>
  <si>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</si>
  <si>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</si>
  <si>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</si>
  <si>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</si>
  <si>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</si>
  <si>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</si>
  <si>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</si>
  <si>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</si>
  <si>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</si>
  <si>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</si>
  <si>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</si>
  <si>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</si>
  <si>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</si>
  <si>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</si>
  <si>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</si>
  <si>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</si>
  <si>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</si>
  <si>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</si>
  <si>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</si>
  <si>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</si>
  <si>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</si>
  <si>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</si>
  <si>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</si>
  <si>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</si>
  <si>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</si>
  <si>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</si>
  <si>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</si>
  <si>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</si>
  <si>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</si>
  <si>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</si>
  <si>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</si>
  <si>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</si>
  <si>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</si>
  <si>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</si>
  <si>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</si>
  <si>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</si>
  <si>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</si>
  <si>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</si>
  <si>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</si>
  <si>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</si>
  <si>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</si>
  <si>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</si>
  <si>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</si>
  <si>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</si>
  <si>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</si>
  <si>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</si>
  <si>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</si>
  <si>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</si>
  <si>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</si>
  <si>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</si>
  <si>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</si>
  <si>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</si>
  <si>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</si>
  <si>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</si>
  <si>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</si>
  <si>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</si>
  <si>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</si>
  <si>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</si>
  <si>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</si>
  <si>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</si>
  <si>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</si>
  <si>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</si>
  <si>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</si>
  <si>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</si>
  <si>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</si>
  <si>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</si>
  <si>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</si>
  <si>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</si>
  <si>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</si>
  <si>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</si>
  <si>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</si>
  <si>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</si>
  <si>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</si>
  <si>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</si>
  <si>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</si>
  <si>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</si>
  <si>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</si>
  <si>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</si>
  <si>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</si>
  <si>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</si>
  <si>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</si>
  <si>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</si>
  <si>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</si>
  <si>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</si>
  <si>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</si>
  <si>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</si>
  <si>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</si>
  <si>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</si>
  <si>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</si>
  <si>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</si>
  <si>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</si>
  <si>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</si>
  <si>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</si>
  <si>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</si>
  <si>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</si>
  <si>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</si>
  <si>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</si>
  <si>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</si>
  <si>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</si>
  <si>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</si>
  <si>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</si>
  <si>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</si>
  <si>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</si>
  <si>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</si>
  <si>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</si>
  <si>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</si>
  <si>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</si>
  <si>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</si>
  <si>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</si>
  <si>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</si>
  <si>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</si>
  <si>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</si>
  <si>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</si>
  <si>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</si>
  <si>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</si>
  <si>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</si>
  <si>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</si>
  <si>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</si>
  <si>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</si>
  <si>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</si>
  <si>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</si>
  <si>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</si>
  <si>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</si>
  <si>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</si>
  <si>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</si>
  <si>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</si>
  <si>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</si>
  <si>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Ryan Huang</t>
    <phoneticPr fontId="2" type="noConversion"/>
  </si>
  <si>
    <t>Derek Deng</t>
    <phoneticPr fontId="2" type="noConversion"/>
  </si>
  <si>
    <t>排班存钱加单人上班无休</t>
  </si>
  <si>
    <t>单人上班无休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</si>
</sst>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39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24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99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3" xfId="0" applyFont="1" applyBorder="1" applyAlignment="1" applyProtection="1">
      <alignment horizontal="center"/>
      <protection locked="0"/>
    </xf>
    <xf numFmtId="0" fontId="38" fillId="0" borderId="4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50" zoomScaleNormal="50" workbookViewId="0">
      <pane xSplit="3" ySplit="1" topLeftCell="U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2.164062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10299</v>
      </c>
      <c r="B2" s="73" t="s">
        <v>899</v>
      </c>
      <c r="C2" s="97" t="s">
        <v>1410</v>
      </c>
      <c r="D2" s="75">
        <v>0.45833333333333331</v>
      </c>
      <c r="E2" s="84">
        <v>0.90625</v>
      </c>
      <c r="F2" s="92">
        <f>BA2-BB2</f>
        <v>9.75</v>
      </c>
      <c r="G2" s="75">
        <v>0.47291666666666665</v>
      </c>
      <c r="H2" s="75">
        <v>0.79374999999999996</v>
      </c>
      <c r="I2" s="92">
        <f>BF2-BG2</f>
        <v>7.1999999999999993</v>
      </c>
      <c r="J2" s="75">
        <v>0.49444444444444446</v>
      </c>
      <c r="K2" s="75">
        <v>0.79166666666666663</v>
      </c>
      <c r="L2" s="92">
        <f>BK2-BL2</f>
        <v>6.633333333333332</v>
      </c>
      <c r="M2" s="85"/>
      <c r="N2" s="84"/>
      <c r="O2" s="92">
        <f>BP2-BQ2</f>
        <v>0</v>
      </c>
      <c r="P2" s="75">
        <v>0.46666666666666667</v>
      </c>
      <c r="Q2" s="75">
        <v>1.0152777777777777</v>
      </c>
      <c r="R2" s="92">
        <f>BU2-BV2</f>
        <v>12.166666666666664</v>
      </c>
      <c r="S2" s="75">
        <v>0.46111111111111114</v>
      </c>
      <c r="T2" s="75">
        <v>1.0180555555555555</v>
      </c>
      <c r="U2" s="92">
        <f>BZ2-CA2</f>
        <v>12.366666666666664</v>
      </c>
      <c r="V2" s="85"/>
      <c r="W2" s="85"/>
      <c r="X2" s="92">
        <f>CE2-CF2</f>
        <v>0</v>
      </c>
      <c r="Y2" s="92"/>
      <c r="Z2" s="92"/>
      <c r="AA2" s="92"/>
      <c r="AB2" s="92">
        <f>SUM(F2,I2,L2,O2,R2,U2,X2)</f>
        <v>48.11666666666666</v>
      </c>
      <c r="AC2" s="93"/>
      <c r="AD2" s="78">
        <v>4</v>
      </c>
      <c r="AE2" s="94">
        <f t="shared" ref="AE2:AE40" si="1">SUMIF($BC$1:$CI$1,AE$1,$BC2:$CI2)+AD2</f>
        <v>37.383333333333333</v>
      </c>
      <c r="AF2" s="77">
        <v>1</v>
      </c>
      <c r="AG2" s="94">
        <f t="shared" ref="AG2:AG40" si="2">SUMIF($BC$1:$CI$1,AG$1,$BC2:$CI2)+AF2</f>
        <v>13.299999999999997</v>
      </c>
      <c r="AH2" s="78"/>
      <c r="AI2" s="94">
        <f t="shared" ref="AI2:AI40" si="3">SUMIF($BC$1:$CI$1,AI$1,$BC2:$CI2)+AH2</f>
        <v>0.43333333333333179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2.0000000000000009</v>
      </c>
      <c r="AN2" s="77"/>
      <c r="AO2" s="94">
        <f t="shared" ref="AO2:AO40" si="6">SUMIF($BC$1:$CI$1,AO$1,$BC2:$CI2)+AN2</f>
        <v>0</v>
      </c>
      <c r="AP2" s="95">
        <f>CK2</f>
        <v>5</v>
      </c>
      <c r="AQ2" s="77"/>
      <c r="AR2" s="77"/>
      <c r="AS2" s="77"/>
      <c r="AT2" s="44">
        <f>AE2+AG2+AI2+AK2+AM2+AO2+SUM(AQ2:AS2)</f>
        <v>53.11666666666666</v>
      </c>
      <c r="AU2" s="78" t="s">
        <v>1412</v>
      </c>
      <c r="AV2" s="5"/>
      <c r="AW2" s="5"/>
      <c r="AX2" s="5"/>
      <c r="AY2" s="5"/>
      <c r="AZ2" s="24">
        <f>VLOOKUP(C2,Employees!D:I,6,FALSE)</f>
        <v>10299</v>
      </c>
      <c r="BA2" s="5">
        <f>IF(ISBLANK(D2),0,(E2-D2)*24)</f>
        <v>10.75</v>
      </c>
      <c r="BB2" s="5">
        <f>IF(BA2&gt;$AY$1,1,IF(BA2&gt;=$AX$1,0.5,0))</f>
        <v>1</v>
      </c>
      <c r="BC2" s="5">
        <f>BA2-BB2-BD2-BE2</f>
        <v>9.75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7.6999999999999993</v>
      </c>
      <c r="BG2" s="5">
        <f>IF(BF2&gt;$AY$1,1,IF(BF2&gt;=$AX$1,0.5,0))</f>
        <v>0.5</v>
      </c>
      <c r="BH2" s="5">
        <f>BF2-BG2-BI2-BJ2</f>
        <v>7.1999999999999993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7.133333333333332</v>
      </c>
      <c r="BL2" s="5">
        <f>IF(BK2&gt;$AY$1,1,IF(BK2&gt;=$AX$1,0.5,0))</f>
        <v>0.5</v>
      </c>
      <c r="BM2" s="5">
        <f>BK2-BL2-BN2-BO2</f>
        <v>6.633333333333332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13.166666666666664</v>
      </c>
      <c r="BV2" s="5">
        <f>IF(BU2&gt;$AY$1,1,IF(BU2&gt;=$AX$1,0.5,0))</f>
        <v>1</v>
      </c>
      <c r="BW2" s="5">
        <f>BU2-BV2-BX2-BY2</f>
        <v>9.7999999999999989</v>
      </c>
      <c r="BX2" s="5">
        <f>IF(AND(Q2&gt;$AV$1, P2&lt;$AW$1),(MIN(Q2,$AW$1)-MAX(P2,$AV$1))*24,0)</f>
        <v>2.0000000000000009</v>
      </c>
      <c r="BY2" s="5">
        <f t="shared" ref="BY2:BY65" si="11">IF(Q2&gt;$AW$1,(Q2-MAX(P2,$AW$1))*24,0)</f>
        <v>0.36666666666666536</v>
      </c>
      <c r="BZ2" s="5">
        <f t="shared" ref="BZ2" si="12">IF(ISBLANK(S2),0,(T2-S2)*24)</f>
        <v>13.366666666666664</v>
      </c>
      <c r="CA2" s="5">
        <f>IF(BZ2&gt;$AY$1,1,IF(BZ2&gt;=$AX$1,0.5,0))</f>
        <v>1</v>
      </c>
      <c r="CB2" s="5">
        <f>BZ2-CA2-CC2-CD2</f>
        <v>9.9333333333333318</v>
      </c>
      <c r="CC2" s="5">
        <f>IF(AND(T2&gt;$AV$1, S2&lt;$AW$1),(MIN(T2,$AW$1)-MAX(S2,$AV$1))*24,0)</f>
        <v>2.0000000000000009</v>
      </c>
      <c r="CD2" s="5">
        <f>IF(T2&gt;$AW$1,(T2-MAX(S2,$AW$1))*24,0)</f>
        <v>0.43333333333333179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5</v>
      </c>
    </row>
    <row r="3" spans="1:89" ht="38" customHeight="1">
      <c r="A3" s="74">
        <f t="shared" si="0"/>
        <v>10052</v>
      </c>
      <c r="B3" s="73" t="s">
        <v>899</v>
      </c>
      <c r="C3" s="98" t="s">
        <v>1411</v>
      </c>
      <c r="D3" s="84">
        <v>0.91041666666666665</v>
      </c>
      <c r="E3" s="75">
        <v>1.0062500000000001</v>
      </c>
      <c r="F3" s="92">
        <f t="shared" ref="F3:F69" si="15">BA3-BB3</f>
        <v>2.3000000000000025</v>
      </c>
      <c r="G3" s="75">
        <v>0.79305555555555551</v>
      </c>
      <c r="H3" s="75">
        <v>1.0125</v>
      </c>
      <c r="I3" s="92">
        <f t="shared" ref="I3:I69" si="16">BF3-BG3</f>
        <v>5.2666666666666666</v>
      </c>
      <c r="J3" s="75">
        <v>0.79861111111111116</v>
      </c>
      <c r="K3" s="75">
        <v>1.0111111111111111</v>
      </c>
      <c r="L3" s="92">
        <f t="shared" ref="L3:L69" si="17">BK3-BL3</f>
        <v>5.0999999999999979</v>
      </c>
      <c r="M3" s="75">
        <v>0.4597222222222222</v>
      </c>
      <c r="N3" s="75">
        <v>1.0090277777777779</v>
      </c>
      <c r="O3" s="92">
        <f t="shared" ref="O3:O69" si="18">BP3-BQ3</f>
        <v>12.183333333333337</v>
      </c>
      <c r="P3" s="75"/>
      <c r="Q3" s="75"/>
      <c r="R3" s="92">
        <f t="shared" ref="R3:R69" si="19">BU3-BV3</f>
        <v>0</v>
      </c>
      <c r="S3" s="85"/>
      <c r="T3" s="85"/>
      <c r="U3" s="92">
        <f t="shared" ref="U3:U69" si="20">BZ3-CA3</f>
        <v>0</v>
      </c>
      <c r="V3" s="75">
        <v>0.46111111111111114</v>
      </c>
      <c r="W3" s="75">
        <v>1.0208333333333333</v>
      </c>
      <c r="X3" s="92">
        <f t="shared" ref="X3:X69" si="21">CE3-CF3</f>
        <v>12.43333333333333</v>
      </c>
      <c r="Y3" s="92"/>
      <c r="Z3" s="92"/>
      <c r="AA3" s="92"/>
      <c r="AB3" s="92">
        <f t="shared" ref="AB3:AB69" si="22">SUM(F3,I3,L3,O3,R3,U3,X3)</f>
        <v>37.283333333333331</v>
      </c>
      <c r="AC3" s="93"/>
      <c r="AD3" s="78">
        <v>1</v>
      </c>
      <c r="AE3" s="94">
        <f t="shared" si="1"/>
        <v>16.916666666666664</v>
      </c>
      <c r="AF3" s="77"/>
      <c r="AG3" s="94">
        <f t="shared" si="2"/>
        <v>0</v>
      </c>
      <c r="AH3" s="78">
        <v>1</v>
      </c>
      <c r="AI3" s="94">
        <f t="shared" si="3"/>
        <v>12.933333333333334</v>
      </c>
      <c r="AJ3" s="77"/>
      <c r="AK3" s="94">
        <f t="shared" si="4"/>
        <v>0</v>
      </c>
      <c r="AL3" s="77"/>
      <c r="AM3" s="94">
        <f t="shared" si="5"/>
        <v>8.0000000000000036</v>
      </c>
      <c r="AN3" s="77"/>
      <c r="AO3" s="94">
        <f t="shared" si="6"/>
        <v>1.4333333333333336</v>
      </c>
      <c r="AP3" s="95">
        <f t="shared" ref="AP3:AP69" si="23">CK3</f>
        <v>5</v>
      </c>
      <c r="AQ3" s="77"/>
      <c r="AR3" s="77"/>
      <c r="AS3" s="77"/>
      <c r="AT3" s="44">
        <f t="shared" ref="AT3:AT69" si="24">AE3+AG3+AI3+AK3+AM3+AO3+SUM(AQ3:AS3)</f>
        <v>39.283333333333331</v>
      </c>
      <c r="AU3" s="78" t="s">
        <v>1413</v>
      </c>
      <c r="AV3" s="5"/>
      <c r="AW3" s="5"/>
      <c r="AX3" s="5"/>
      <c r="AY3" s="5"/>
      <c r="AZ3" s="24">
        <f>VLOOKUP(C3,Employees!D:I,6,FALSE)</f>
        <v>10052</v>
      </c>
      <c r="BA3" s="5">
        <f t="shared" ref="BA3:BA66" si="25">IF(ISBLANK(D3),0,(E3-D3)*24)</f>
        <v>2.3000000000000025</v>
      </c>
      <c r="BB3" s="5">
        <f t="shared" ref="BB3:BB66" si="26">IF(BA3&gt;$AY$1,1,IF(BA3&gt;=$AX$1,0.5,0))</f>
        <v>0</v>
      </c>
      <c r="BC3" s="5">
        <f t="shared" ref="BC3:BC66" si="27">BA3-BB3-BD3-BE3</f>
        <v>0.14999999999999947</v>
      </c>
      <c r="BD3" s="5">
        <f>IF(AND(E3&gt;$AV$1, D3&lt;$AW$1),(MIN(E3,$AW$1)-MAX(D3,$AV$1))*24,0)</f>
        <v>2.0000000000000009</v>
      </c>
      <c r="BE3" s="5">
        <f t="shared" ref="BE3:BE66" si="28">IF(E3&gt;$AW$1,(E3-MAX(D3,$AW$1))*24,0)</f>
        <v>0.15000000000000213</v>
      </c>
      <c r="BF3" s="5">
        <f t="shared" ref="BF3:BF66" si="29">IF(ISBLANK(G3),0,(H3-G3)*24)</f>
        <v>5.2666666666666666</v>
      </c>
      <c r="BG3" s="5">
        <f t="shared" ref="BG3:BG66" si="30">IF(BF3&gt;$AY$1,1,IF(BF3&gt;=$AX$1,0.5,0))</f>
        <v>0</v>
      </c>
      <c r="BH3" s="5">
        <f t="shared" ref="BH3:BH66" si="31">BF3-BG3-BI3-BJ3</f>
        <v>2.9666666666666668</v>
      </c>
      <c r="BI3" s="5">
        <f t="shared" ref="BI3:BI66" si="32">IF(AND(H3&gt;$AV$1,G3&lt;$AW$1),(MIN(H3,$AW$1)-MAX(G3,$AV$1))*24,0)</f>
        <v>2.0000000000000009</v>
      </c>
      <c r="BJ3" s="5">
        <f t="shared" ref="BJ3:BJ66" si="33">IF(H3&gt;$AW$1,(H3-MAX(G3,$AW$1))*24,0)</f>
        <v>0.29999999999999893</v>
      </c>
      <c r="BK3" s="5">
        <f t="shared" ref="BK3:BK66" si="34">IF(ISBLANK(J3),0,(K3-J3)*24)</f>
        <v>5.0999999999999979</v>
      </c>
      <c r="BL3" s="5">
        <f t="shared" ref="BL3:BL66" si="35">IF(BK3&gt;$AY$1,1,IF(BK3&gt;=$AX$1,0.5,0))</f>
        <v>0</v>
      </c>
      <c r="BM3" s="5">
        <f t="shared" ref="BM3:BM66" si="36">BK3-BL3-BN3-BO3</f>
        <v>2.8333333333333313</v>
      </c>
      <c r="BN3" s="5">
        <f t="shared" ref="BN3:BN66" si="37">IF(AND(K3&gt;$AV$1, J3&lt;$AW$1),(MIN(K3,$AW$1)-MAX(J3,$AV$1))*24,0)</f>
        <v>2.0000000000000009</v>
      </c>
      <c r="BO3" s="5">
        <f t="shared" ref="BO3:BO66" si="38">IF(K3&gt;$AW$1,(K3-MAX(J3,$AW$1))*24,0)</f>
        <v>0.26666666666666572</v>
      </c>
      <c r="BP3" s="5">
        <f t="shared" ref="BP3:BP66" si="39">IF(ISBLANK(M3),0,(N3-M3)*24)</f>
        <v>13.183333333333337</v>
      </c>
      <c r="BQ3" s="5">
        <f t="shared" ref="BQ3:BQ66" si="40">IF(BP3&gt;$AY$1,1,IF(BP3&gt;=$AX$1,0.5,0))</f>
        <v>1</v>
      </c>
      <c r="BR3" s="5">
        <f t="shared" ref="BR3:BR66" si="41">BP3-BQ3-BS3-BT3</f>
        <v>9.9666666666666686</v>
      </c>
      <c r="BS3" s="5">
        <f t="shared" ref="BS3:BS66" si="42">IF(AND(N3&gt;$AV$1, M3&lt;$AW$1),(MIN(N3,$AW$1)-MAX(M3,$AV$1))*24,0)</f>
        <v>2.0000000000000009</v>
      </c>
      <c r="BT3" s="5">
        <f t="shared" ref="BT3:BT66" si="43">IF(N3&gt;$AW$1,(N3-MAX(M3,$AW$1))*24,0)</f>
        <v>0.21666666666666856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13.43333333333333</v>
      </c>
      <c r="CF3" s="5">
        <f t="shared" ref="CF3:CF66" si="54">IF(CE3&gt;$AY$1,1,IF(CE3&gt;=$AX$1,0.5,0))</f>
        <v>1</v>
      </c>
      <c r="CG3" s="5">
        <f t="shared" ref="CG3:CG66" si="55">CE3-CF3-CH3-CI3</f>
        <v>9.9333333333333318</v>
      </c>
      <c r="CH3" s="5">
        <f t="shared" ref="CH3:CH66" si="56">IF(AND(W3&gt;$AV$1, V3&lt;$AW$1),(MIN(W3,$AW$1)-MAX(V3,$AV$1))*24,0)</f>
        <v>2.0000000000000009</v>
      </c>
      <c r="CI3" s="5">
        <f t="shared" ref="CI3:CI66" si="57">IF(W3&gt;$AW$1,(W3-MAX(V3,$AW$1))*24,0)</f>
        <v>0.49999999999999822</v>
      </c>
      <c r="CJ3" s="5"/>
      <c r="CK3" s="4">
        <f t="shared" si="14"/>
        <v>5</v>
      </c>
    </row>
    <row r="4" spans="1:89" ht="38" customHeight="1">
      <c r="A4" s="74" t="str">
        <f t="shared" si="0"/>
        <v/>
      </c>
      <c r="B4" s="73"/>
      <c r="C4" s="98"/>
      <c r="D4" s="85"/>
      <c r="E4" s="85"/>
      <c r="F4" s="92">
        <f t="shared" si="15"/>
        <v>0</v>
      </c>
      <c r="G4" s="85"/>
      <c r="H4" s="85"/>
      <c r="I4" s="92">
        <f t="shared" si="16"/>
        <v>0</v>
      </c>
      <c r="J4" s="85"/>
      <c r="K4" s="85"/>
      <c r="L4" s="92">
        <f t="shared" si="17"/>
        <v>0</v>
      </c>
      <c r="M4" s="85"/>
      <c r="N4" s="85"/>
      <c r="O4" s="92">
        <f t="shared" si="18"/>
        <v>0</v>
      </c>
      <c r="P4" s="85"/>
      <c r="Q4" s="85"/>
      <c r="R4" s="92">
        <f t="shared" si="19"/>
        <v>0</v>
      </c>
      <c r="S4" s="85"/>
      <c r="T4" s="85"/>
      <c r="U4" s="92">
        <f t="shared" si="20"/>
        <v>0</v>
      </c>
      <c r="V4" s="85"/>
      <c r="W4" s="85"/>
      <c r="X4" s="92">
        <f t="shared" si="21"/>
        <v>0</v>
      </c>
      <c r="Y4" s="92"/>
      <c r="Z4" s="92"/>
      <c r="AA4" s="92"/>
      <c r="AB4" s="92">
        <f t="shared" si="22"/>
        <v>0</v>
      </c>
      <c r="AC4" s="93"/>
      <c r="AD4" s="78"/>
      <c r="AE4" s="94">
        <f t="shared" si="1"/>
        <v>0</v>
      </c>
      <c r="AF4" s="77"/>
      <c r="AG4" s="94">
        <f t="shared" si="2"/>
        <v>0</v>
      </c>
      <c r="AH4" s="78"/>
      <c r="AI4" s="94">
        <f t="shared" si="3"/>
        <v>0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3"/>
        <v>0</v>
      </c>
      <c r="AQ4" s="77"/>
      <c r="AR4" s="77"/>
      <c r="AS4" s="77"/>
      <c r="AT4" s="44">
        <f t="shared" si="24"/>
        <v>0</v>
      </c>
      <c r="AU4" s="78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0</v>
      </c>
    </row>
    <row r="5" spans="1:89" ht="38" customHeight="1">
      <c r="A5" s="74" t="str">
        <f t="shared" si="0"/>
        <v/>
      </c>
      <c r="B5" s="81"/>
      <c r="C5" s="86"/>
      <c r="D5" s="85"/>
      <c r="E5" s="85"/>
      <c r="F5" s="92">
        <f t="shared" si="15"/>
        <v>0</v>
      </c>
      <c r="G5" s="85"/>
      <c r="H5" s="85"/>
      <c r="I5" s="92">
        <f t="shared" si="16"/>
        <v>0</v>
      </c>
      <c r="J5" s="85"/>
      <c r="K5" s="85"/>
      <c r="L5" s="92">
        <f t="shared" si="17"/>
        <v>0</v>
      </c>
      <c r="M5" s="85"/>
      <c r="N5" s="85"/>
      <c r="O5" s="92">
        <f t="shared" si="18"/>
        <v>0</v>
      </c>
      <c r="P5" s="85"/>
      <c r="Q5" s="85"/>
      <c r="R5" s="92">
        <f t="shared" si="19"/>
        <v>0</v>
      </c>
      <c r="S5" s="85"/>
      <c r="T5" s="85"/>
      <c r="U5" s="92">
        <f t="shared" si="20"/>
        <v>0</v>
      </c>
      <c r="V5" s="85"/>
      <c r="W5" s="85"/>
      <c r="X5" s="92">
        <f t="shared" si="21"/>
        <v>0</v>
      </c>
      <c r="Y5" s="92"/>
      <c r="Z5" s="92"/>
      <c r="AA5" s="92"/>
      <c r="AB5" s="92">
        <f t="shared" si="22"/>
        <v>0</v>
      </c>
      <c r="AC5" s="93"/>
      <c r="AD5" s="78"/>
      <c r="AE5" s="94">
        <f t="shared" si="1"/>
        <v>0</v>
      </c>
      <c r="AF5" s="77"/>
      <c r="AG5" s="94">
        <f t="shared" si="2"/>
        <v>0</v>
      </c>
      <c r="AH5" s="78"/>
      <c r="AI5" s="94">
        <f t="shared" si="3"/>
        <v>0</v>
      </c>
      <c r="AJ5" s="77"/>
      <c r="AK5" s="94">
        <f t="shared" si="4"/>
        <v>0</v>
      </c>
      <c r="AL5" s="77"/>
      <c r="AM5" s="94">
        <f t="shared" si="5"/>
        <v>0</v>
      </c>
      <c r="AN5" s="77"/>
      <c r="AO5" s="94">
        <f t="shared" si="6"/>
        <v>0</v>
      </c>
      <c r="AP5" s="95">
        <f t="shared" si="23"/>
        <v>0</v>
      </c>
      <c r="AQ5" s="77"/>
      <c r="AR5" s="77"/>
      <c r="AS5" s="77"/>
      <c r="AT5" s="44">
        <f t="shared" si="24"/>
        <v>0</v>
      </c>
      <c r="AU5" s="78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0</v>
      </c>
    </row>
    <row r="6" spans="1:89" ht="38" customHeight="1">
      <c r="A6" s="74" t="str">
        <f t="shared" si="0"/>
        <v/>
      </c>
      <c r="B6" s="81"/>
      <c r="C6" s="86"/>
      <c r="D6" s="85"/>
      <c r="E6" s="85"/>
      <c r="F6" s="92">
        <f t="shared" si="15"/>
        <v>0</v>
      </c>
      <c r="G6" s="85"/>
      <c r="H6" s="85"/>
      <c r="I6" s="92">
        <f t="shared" si="16"/>
        <v>0</v>
      </c>
      <c r="J6" s="85"/>
      <c r="K6" s="85"/>
      <c r="L6" s="92">
        <f t="shared" si="17"/>
        <v>0</v>
      </c>
      <c r="M6" s="85"/>
      <c r="N6" s="85"/>
      <c r="O6" s="92">
        <f t="shared" si="18"/>
        <v>0</v>
      </c>
      <c r="P6" s="85"/>
      <c r="Q6" s="85"/>
      <c r="R6" s="92">
        <f t="shared" si="19"/>
        <v>0</v>
      </c>
      <c r="S6" s="85"/>
      <c r="T6" s="85"/>
      <c r="U6" s="92">
        <f t="shared" si="20"/>
        <v>0</v>
      </c>
      <c r="V6" s="85"/>
      <c r="W6" s="85"/>
      <c r="X6" s="92">
        <f t="shared" si="21"/>
        <v>0</v>
      </c>
      <c r="Y6" s="92"/>
      <c r="Z6" s="92"/>
      <c r="AA6" s="92"/>
      <c r="AB6" s="92">
        <f t="shared" si="22"/>
        <v>0</v>
      </c>
      <c r="AC6" s="93"/>
      <c r="AD6" s="78"/>
      <c r="AE6" s="94">
        <f t="shared" si="1"/>
        <v>0</v>
      </c>
      <c r="AF6" s="77"/>
      <c r="AG6" s="94">
        <f t="shared" si="2"/>
        <v>0</v>
      </c>
      <c r="AH6" s="78"/>
      <c r="AI6" s="94">
        <f t="shared" si="3"/>
        <v>0</v>
      </c>
      <c r="AJ6" s="77"/>
      <c r="AK6" s="94">
        <f t="shared" si="4"/>
        <v>0</v>
      </c>
      <c r="AL6" s="77"/>
      <c r="AM6" s="94">
        <f t="shared" si="5"/>
        <v>0</v>
      </c>
      <c r="AN6" s="77"/>
      <c r="AO6" s="94">
        <f t="shared" si="6"/>
        <v>0</v>
      </c>
      <c r="AP6" s="95">
        <f t="shared" si="23"/>
        <v>0</v>
      </c>
      <c r="AQ6" s="77"/>
      <c r="AR6" s="77"/>
      <c r="AS6" s="77"/>
      <c r="AT6" s="44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0</v>
      </c>
    </row>
    <row r="7" spans="1:89" ht="38" customHeight="1">
      <c r="A7" s="74" t="str">
        <f t="shared" si="0"/>
        <v/>
      </c>
      <c r="B7" s="81"/>
      <c r="C7" s="86"/>
      <c r="D7" s="84"/>
      <c r="E7" s="85"/>
      <c r="F7" s="92">
        <f t="shared" si="15"/>
        <v>0</v>
      </c>
      <c r="G7" s="85"/>
      <c r="H7" s="85"/>
      <c r="I7" s="92">
        <f t="shared" si="16"/>
        <v>0</v>
      </c>
      <c r="J7" s="85"/>
      <c r="K7" s="85"/>
      <c r="L7" s="92">
        <f t="shared" si="17"/>
        <v>0</v>
      </c>
      <c r="M7" s="84"/>
      <c r="N7" s="85"/>
      <c r="O7" s="92">
        <f t="shared" si="18"/>
        <v>0</v>
      </c>
      <c r="P7" s="84"/>
      <c r="Q7" s="85"/>
      <c r="R7" s="92">
        <f t="shared" si="19"/>
        <v>0</v>
      </c>
      <c r="S7" s="84"/>
      <c r="T7" s="85"/>
      <c r="U7" s="92">
        <f t="shared" si="20"/>
        <v>0</v>
      </c>
      <c r="V7" s="85"/>
      <c r="W7" s="85"/>
      <c r="X7" s="92">
        <f t="shared" si="21"/>
        <v>0</v>
      </c>
      <c r="Y7" s="92"/>
      <c r="Z7" s="92"/>
      <c r="AA7" s="92"/>
      <c r="AB7" s="92">
        <f t="shared" si="22"/>
        <v>0</v>
      </c>
      <c r="AC7" s="93"/>
      <c r="AD7" s="78"/>
      <c r="AE7" s="94">
        <f t="shared" si="1"/>
        <v>0</v>
      </c>
      <c r="AF7" s="77"/>
      <c r="AG7" s="94">
        <f t="shared" si="2"/>
        <v>0</v>
      </c>
      <c r="AH7" s="77"/>
      <c r="AI7" s="94">
        <f t="shared" si="3"/>
        <v>0</v>
      </c>
      <c r="AJ7" s="77"/>
      <c r="AK7" s="94">
        <f t="shared" si="4"/>
        <v>0</v>
      </c>
      <c r="AL7" s="77"/>
      <c r="AM7" s="94">
        <f t="shared" si="5"/>
        <v>0</v>
      </c>
      <c r="AN7" s="77"/>
      <c r="AO7" s="94">
        <f t="shared" si="6"/>
        <v>0</v>
      </c>
      <c r="AP7" s="95">
        <f t="shared" si="23"/>
        <v>0</v>
      </c>
      <c r="AQ7" s="77"/>
      <c r="AR7" s="77"/>
      <c r="AS7" s="77"/>
      <c r="AT7" s="44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0</v>
      </c>
    </row>
    <row r="8" spans="1:89" ht="38" customHeight="1">
      <c r="A8" s="74" t="str">
        <f t="shared" si="0"/>
        <v/>
      </c>
      <c r="B8" s="81"/>
      <c r="C8" s="86"/>
      <c r="D8" s="84"/>
      <c r="E8" s="85"/>
      <c r="F8" s="92">
        <f t="shared" si="15"/>
        <v>0</v>
      </c>
      <c r="G8" s="85"/>
      <c r="H8" s="85"/>
      <c r="I8" s="92">
        <f t="shared" si="16"/>
        <v>0</v>
      </c>
      <c r="J8" s="84"/>
      <c r="K8" s="85"/>
      <c r="L8" s="92">
        <f t="shared" si="17"/>
        <v>0</v>
      </c>
      <c r="M8" s="85"/>
      <c r="N8" s="85"/>
      <c r="O8" s="92">
        <f t="shared" si="18"/>
        <v>0</v>
      </c>
      <c r="P8" s="84"/>
      <c r="Q8" s="85"/>
      <c r="R8" s="92">
        <f t="shared" si="19"/>
        <v>0</v>
      </c>
      <c r="S8" s="84"/>
      <c r="T8" s="85"/>
      <c r="U8" s="92">
        <f t="shared" si="20"/>
        <v>0</v>
      </c>
      <c r="V8" s="85"/>
      <c r="W8" s="85"/>
      <c r="X8" s="92">
        <f t="shared" si="21"/>
        <v>0</v>
      </c>
      <c r="Y8" s="92"/>
      <c r="Z8" s="92"/>
      <c r="AA8" s="92"/>
      <c r="AB8" s="92">
        <f t="shared" si="22"/>
        <v>0</v>
      </c>
      <c r="AC8" s="93"/>
      <c r="AD8" s="78"/>
      <c r="AE8" s="94">
        <f t="shared" si="1"/>
        <v>0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3"/>
        <v>0</v>
      </c>
      <c r="AQ8" s="77"/>
      <c r="AR8" s="77"/>
      <c r="AS8" s="77"/>
      <c r="AT8" s="44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 t="str">
        <f t="shared" si="0"/>
        <v/>
      </c>
      <c r="B9" s="81"/>
      <c r="C9" s="86"/>
      <c r="D9" s="85"/>
      <c r="E9" s="85"/>
      <c r="F9" s="92">
        <f t="shared" si="15"/>
        <v>0</v>
      </c>
      <c r="G9" s="85"/>
      <c r="H9" s="85"/>
      <c r="I9" s="92">
        <f t="shared" si="16"/>
        <v>0</v>
      </c>
      <c r="J9" s="85"/>
      <c r="K9" s="85"/>
      <c r="L9" s="92">
        <f t="shared" si="17"/>
        <v>0</v>
      </c>
      <c r="M9" s="84"/>
      <c r="N9" s="85"/>
      <c r="O9" s="92">
        <f t="shared" si="18"/>
        <v>0</v>
      </c>
      <c r="P9" s="85"/>
      <c r="Q9" s="85"/>
      <c r="R9" s="92">
        <f t="shared" si="19"/>
        <v>0</v>
      </c>
      <c r="S9" s="84"/>
      <c r="T9" s="85"/>
      <c r="U9" s="92">
        <f t="shared" si="20"/>
        <v>0</v>
      </c>
      <c r="V9" s="85"/>
      <c r="W9" s="85"/>
      <c r="X9" s="92">
        <f t="shared" si="21"/>
        <v>0</v>
      </c>
      <c r="Y9" s="92"/>
      <c r="Z9" s="92"/>
      <c r="AA9" s="92"/>
      <c r="AB9" s="92">
        <f t="shared" si="22"/>
        <v>0</v>
      </c>
      <c r="AC9" s="93"/>
      <c r="AD9" s="78"/>
      <c r="AE9" s="94">
        <f t="shared" si="1"/>
        <v>0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81"/>
      <c r="C10" s="86"/>
      <c r="D10" s="84"/>
      <c r="E10" s="84"/>
      <c r="F10" s="92">
        <f t="shared" si="15"/>
        <v>0</v>
      </c>
      <c r="G10" s="85"/>
      <c r="H10" s="85"/>
      <c r="I10" s="92">
        <f t="shared" si="16"/>
        <v>0</v>
      </c>
      <c r="J10" s="84"/>
      <c r="K10" s="85"/>
      <c r="L10" s="92">
        <f t="shared" si="17"/>
        <v>0</v>
      </c>
      <c r="M10" s="85"/>
      <c r="N10" s="85"/>
      <c r="O10" s="92">
        <f t="shared" si="18"/>
        <v>0</v>
      </c>
      <c r="P10" s="85"/>
      <c r="Q10" s="85"/>
      <c r="R10" s="92">
        <f t="shared" si="19"/>
        <v>0</v>
      </c>
      <c r="S10" s="84"/>
      <c r="T10" s="85"/>
      <c r="U10" s="92">
        <f t="shared" si="20"/>
        <v>0</v>
      </c>
      <c r="V10" s="85"/>
      <c r="W10" s="85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8"/>
      <c r="AE10" s="94">
        <f t="shared" si="1"/>
        <v>0</v>
      </c>
      <c r="AF10" s="77"/>
      <c r="AG10" s="94">
        <f t="shared" si="2"/>
        <v>0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81"/>
      <c r="C11" s="86"/>
      <c r="D11" s="85"/>
      <c r="E11" s="85"/>
      <c r="F11" s="92">
        <f t="shared" si="15"/>
        <v>0</v>
      </c>
      <c r="G11" s="85"/>
      <c r="H11" s="85"/>
      <c r="I11" s="92">
        <f t="shared" si="16"/>
        <v>0</v>
      </c>
      <c r="J11" s="84"/>
      <c r="K11" s="85"/>
      <c r="L11" s="92">
        <f t="shared" si="17"/>
        <v>0</v>
      </c>
      <c r="M11" s="85"/>
      <c r="N11" s="85"/>
      <c r="O11" s="92">
        <f t="shared" si="18"/>
        <v>0</v>
      </c>
      <c r="P11" s="84"/>
      <c r="Q11" s="85"/>
      <c r="R11" s="92">
        <f t="shared" si="19"/>
        <v>0</v>
      </c>
      <c r="S11" s="75"/>
      <c r="T11" s="75"/>
      <c r="U11" s="92">
        <f t="shared" si="20"/>
        <v>0</v>
      </c>
      <c r="V11" s="84"/>
      <c r="W11" s="85"/>
      <c r="X11" s="92">
        <f t="shared" si="21"/>
        <v>0</v>
      </c>
      <c r="Y11" s="92"/>
      <c r="Z11" s="92"/>
      <c r="AA11" s="92"/>
      <c r="AB11" s="92">
        <f t="shared" si="22"/>
        <v>0</v>
      </c>
      <c r="AC11" s="93"/>
      <c r="AD11" s="78"/>
      <c r="AE11" s="94">
        <f t="shared" si="1"/>
        <v>0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81"/>
      <c r="C12" s="86"/>
      <c r="D12" s="85"/>
      <c r="E12" s="85"/>
      <c r="F12" s="92">
        <f t="shared" si="15"/>
        <v>0</v>
      </c>
      <c r="G12" s="85"/>
      <c r="H12" s="85"/>
      <c r="I12" s="92">
        <f t="shared" si="16"/>
        <v>0</v>
      </c>
      <c r="J12" s="76"/>
      <c r="K12" s="75"/>
      <c r="L12" s="92">
        <f t="shared" si="17"/>
        <v>0</v>
      </c>
      <c r="M12" s="85"/>
      <c r="N12" s="8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81"/>
      <c r="C13" s="86"/>
      <c r="D13" s="84"/>
      <c r="E13" s="85"/>
      <c r="F13" s="92">
        <f t="shared" si="15"/>
        <v>0</v>
      </c>
      <c r="G13" s="85"/>
      <c r="H13" s="84"/>
      <c r="I13" s="92">
        <f t="shared" si="16"/>
        <v>0</v>
      </c>
      <c r="J13" s="76"/>
      <c r="K13" s="75"/>
      <c r="L13" s="92">
        <f t="shared" si="17"/>
        <v>0</v>
      </c>
      <c r="M13" s="85"/>
      <c r="N13" s="84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81"/>
      <c r="C14" s="86"/>
      <c r="D14" s="75"/>
      <c r="E14" s="75"/>
      <c r="F14" s="92">
        <f t="shared" si="15"/>
        <v>0</v>
      </c>
      <c r="G14" s="85"/>
      <c r="H14" s="85"/>
      <c r="I14" s="92">
        <f t="shared" si="16"/>
        <v>0</v>
      </c>
      <c r="J14" s="76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8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6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7"/>
      <c r="D16" s="75"/>
      <c r="E16" s="75"/>
      <c r="F16" s="92">
        <f t="shared" si="15"/>
        <v>0</v>
      </c>
      <c r="G16" s="75"/>
      <c r="H16" s="75"/>
      <c r="I16" s="92">
        <f t="shared" si="16"/>
        <v>0</v>
      </c>
      <c r="J16" s="76"/>
      <c r="K16" s="75"/>
      <c r="L16" s="92">
        <f t="shared" si="17"/>
        <v>0</v>
      </c>
      <c r="M16" s="75"/>
      <c r="N16" s="75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75"/>
      <c r="W16" s="75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7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6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75"/>
      <c r="T17" s="75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6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6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6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6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6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8"/>
      <c r="D37" s="89"/>
      <c r="E37" s="89"/>
      <c r="F37" s="44">
        <f t="shared" si="15"/>
        <v>0</v>
      </c>
      <c r="G37" s="89"/>
      <c r="H37" s="89"/>
      <c r="I37" s="44">
        <f t="shared" si="16"/>
        <v>0</v>
      </c>
      <c r="J37" s="90"/>
      <c r="K37" s="91"/>
      <c r="L37" s="44">
        <f t="shared" si="17"/>
        <v>0</v>
      </c>
      <c r="M37" s="91"/>
      <c r="N37" s="91"/>
      <c r="O37" s="44">
        <f t="shared" si="18"/>
        <v>0</v>
      </c>
      <c r="P37" s="91"/>
      <c r="Q37" s="91"/>
      <c r="R37" s="44">
        <f t="shared" si="19"/>
        <v>0</v>
      </c>
      <c r="S37" s="91"/>
      <c r="T37" s="91"/>
      <c r="U37" s="44">
        <f t="shared" si="20"/>
        <v>0</v>
      </c>
      <c r="V37" s="91"/>
      <c r="W37" s="91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8"/>
      <c r="D38" s="89"/>
      <c r="E38" s="89"/>
      <c r="F38" s="44">
        <f t="shared" si="15"/>
        <v>0</v>
      </c>
      <c r="G38" s="89"/>
      <c r="H38" s="89"/>
      <c r="I38" s="44">
        <f t="shared" si="16"/>
        <v>0</v>
      </c>
      <c r="J38" s="90"/>
      <c r="K38" s="91"/>
      <c r="L38" s="44">
        <f t="shared" si="17"/>
        <v>0</v>
      </c>
      <c r="M38" s="90"/>
      <c r="N38" s="91"/>
      <c r="O38" s="44">
        <f t="shared" si="18"/>
        <v>0</v>
      </c>
      <c r="P38" s="91"/>
      <c r="Q38" s="91"/>
      <c r="R38" s="44">
        <f t="shared" si="19"/>
        <v>0</v>
      </c>
      <c r="S38" s="91"/>
      <c r="T38" s="91"/>
      <c r="U38" s="44">
        <f t="shared" si="20"/>
        <v>0</v>
      </c>
      <c r="V38" s="91"/>
      <c r="W38" s="91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8"/>
      <c r="D39" s="89"/>
      <c r="E39" s="89"/>
      <c r="F39" s="44">
        <f t="shared" si="15"/>
        <v>0</v>
      </c>
      <c r="G39" s="89"/>
      <c r="H39" s="89"/>
      <c r="I39" s="44">
        <f t="shared" si="16"/>
        <v>0</v>
      </c>
      <c r="J39" s="90"/>
      <c r="K39" s="91"/>
      <c r="L39" s="44">
        <f t="shared" si="17"/>
        <v>0</v>
      </c>
      <c r="M39" s="91"/>
      <c r="N39" s="91"/>
      <c r="O39" s="44">
        <f t="shared" si="18"/>
        <v>0</v>
      </c>
      <c r="P39" s="91"/>
      <c r="Q39" s="91"/>
      <c r="R39" s="44">
        <f t="shared" si="19"/>
        <v>0</v>
      </c>
      <c r="S39" s="91"/>
      <c r="T39" s="91"/>
      <c r="U39" s="44">
        <f t="shared" si="20"/>
        <v>0</v>
      </c>
      <c r="V39" s="91"/>
      <c r="W39" s="91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8"/>
      <c r="D40" s="89"/>
      <c r="E40" s="89"/>
      <c r="F40" s="44">
        <f t="shared" si="15"/>
        <v>0</v>
      </c>
      <c r="G40" s="89"/>
      <c r="H40" s="89"/>
      <c r="I40" s="44">
        <f t="shared" si="16"/>
        <v>0</v>
      </c>
      <c r="J40" s="90"/>
      <c r="K40" s="91"/>
      <c r="L40" s="44">
        <f t="shared" si="17"/>
        <v>0</v>
      </c>
      <c r="M40" s="91"/>
      <c r="N40" s="91"/>
      <c r="O40" s="44">
        <f t="shared" si="18"/>
        <v>0</v>
      </c>
      <c r="P40" s="91"/>
      <c r="Q40" s="91"/>
      <c r="R40" s="44">
        <f t="shared" si="19"/>
        <v>0</v>
      </c>
      <c r="S40" s="91"/>
      <c r="T40" s="91"/>
      <c r="U40" s="44">
        <f t="shared" si="20"/>
        <v>0</v>
      </c>
      <c r="V40" s="91"/>
      <c r="W40" s="91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8"/>
      <c r="D41" s="89"/>
      <c r="E41" s="89"/>
      <c r="F41" s="44">
        <f t="shared" ref="F41:F60" si="77">BA41-BB41</f>
        <v>0</v>
      </c>
      <c r="G41" s="89"/>
      <c r="H41" s="89"/>
      <c r="I41" s="44">
        <f t="shared" ref="I41:I60" si="78">BF41-BG41</f>
        <v>0</v>
      </c>
      <c r="J41" s="90"/>
      <c r="K41" s="91"/>
      <c r="L41" s="44">
        <f t="shared" ref="L41:L60" si="79">BK41-BL41</f>
        <v>0</v>
      </c>
      <c r="M41" s="91"/>
      <c r="N41" s="91"/>
      <c r="O41" s="44">
        <f t="shared" ref="O41:O60" si="80">BP41-BQ41</f>
        <v>0</v>
      </c>
      <c r="P41" s="91"/>
      <c r="Q41" s="91"/>
      <c r="R41" s="44">
        <f t="shared" ref="R41:R60" si="81">BU41-BV41</f>
        <v>0</v>
      </c>
      <c r="S41" s="91"/>
      <c r="T41" s="91"/>
      <c r="U41" s="44">
        <f t="shared" ref="U41:U60" si="82">BZ41-CA41</f>
        <v>0</v>
      </c>
      <c r="V41" s="91"/>
      <c r="W41" s="91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8"/>
      <c r="D42" s="89"/>
      <c r="E42" s="89"/>
      <c r="F42" s="44">
        <f t="shared" si="77"/>
        <v>0</v>
      </c>
      <c r="G42" s="89"/>
      <c r="H42" s="89"/>
      <c r="I42" s="44">
        <f t="shared" si="78"/>
        <v>0</v>
      </c>
      <c r="J42" s="90"/>
      <c r="K42" s="91"/>
      <c r="L42" s="44">
        <f t="shared" si="79"/>
        <v>0</v>
      </c>
      <c r="M42" s="91"/>
      <c r="N42" s="91"/>
      <c r="O42" s="44">
        <f t="shared" si="80"/>
        <v>0</v>
      </c>
      <c r="P42" s="91"/>
      <c r="Q42" s="91"/>
      <c r="R42" s="44">
        <f t="shared" si="81"/>
        <v>0</v>
      </c>
      <c r="S42" s="91"/>
      <c r="T42" s="91"/>
      <c r="U42" s="44">
        <f t="shared" si="82"/>
        <v>0</v>
      </c>
      <c r="V42" s="91"/>
      <c r="W42" s="91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8"/>
      <c r="D43" s="89"/>
      <c r="E43" s="89"/>
      <c r="F43" s="44">
        <f t="shared" si="77"/>
        <v>0</v>
      </c>
      <c r="G43" s="89"/>
      <c r="H43" s="89"/>
      <c r="I43" s="44">
        <f t="shared" si="78"/>
        <v>0</v>
      </c>
      <c r="J43" s="90"/>
      <c r="K43" s="91"/>
      <c r="L43" s="44">
        <f t="shared" si="79"/>
        <v>0</v>
      </c>
      <c r="M43" s="91"/>
      <c r="N43" s="91"/>
      <c r="O43" s="44">
        <f t="shared" si="80"/>
        <v>0</v>
      </c>
      <c r="P43" s="91"/>
      <c r="Q43" s="91"/>
      <c r="R43" s="44">
        <f t="shared" si="81"/>
        <v>0</v>
      </c>
      <c r="S43" s="91"/>
      <c r="T43" s="91"/>
      <c r="U43" s="44">
        <f t="shared" si="82"/>
        <v>0</v>
      </c>
      <c r="V43" s="91"/>
      <c r="W43" s="91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8"/>
      <c r="D44" s="89"/>
      <c r="E44" s="89"/>
      <c r="F44" s="44">
        <f t="shared" si="77"/>
        <v>0</v>
      </c>
      <c r="G44" s="89"/>
      <c r="H44" s="89"/>
      <c r="I44" s="44">
        <f t="shared" si="78"/>
        <v>0</v>
      </c>
      <c r="J44" s="90"/>
      <c r="K44" s="91"/>
      <c r="L44" s="44">
        <f t="shared" si="79"/>
        <v>0</v>
      </c>
      <c r="M44" s="91"/>
      <c r="N44" s="91"/>
      <c r="O44" s="44">
        <f t="shared" si="80"/>
        <v>0</v>
      </c>
      <c r="P44" s="91"/>
      <c r="Q44" s="91"/>
      <c r="R44" s="44">
        <f t="shared" si="81"/>
        <v>0</v>
      </c>
      <c r="S44" s="91"/>
      <c r="T44" s="91"/>
      <c r="U44" s="44">
        <f t="shared" si="82"/>
        <v>0</v>
      </c>
      <c r="V44" s="91"/>
      <c r="W44" s="91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8"/>
      <c r="D45" s="89"/>
      <c r="E45" s="89"/>
      <c r="F45" s="44">
        <f t="shared" si="77"/>
        <v>0</v>
      </c>
      <c r="G45" s="89"/>
      <c r="H45" s="89"/>
      <c r="I45" s="44">
        <f t="shared" si="78"/>
        <v>0</v>
      </c>
      <c r="J45" s="90"/>
      <c r="K45" s="91"/>
      <c r="L45" s="44">
        <f t="shared" si="79"/>
        <v>0</v>
      </c>
      <c r="M45" s="91"/>
      <c r="N45" s="91"/>
      <c r="O45" s="44">
        <f t="shared" si="80"/>
        <v>0</v>
      </c>
      <c r="P45" s="91"/>
      <c r="Q45" s="91"/>
      <c r="R45" s="44">
        <f t="shared" si="81"/>
        <v>0</v>
      </c>
      <c r="S45" s="91"/>
      <c r="T45" s="91"/>
      <c r="U45" s="44">
        <f t="shared" si="82"/>
        <v>0</v>
      </c>
      <c r="V45" s="91"/>
      <c r="W45" s="91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8"/>
      <c r="D46" s="89"/>
      <c r="E46" s="89"/>
      <c r="F46" s="44">
        <f t="shared" si="77"/>
        <v>0</v>
      </c>
      <c r="G46" s="89"/>
      <c r="H46" s="89"/>
      <c r="I46" s="44">
        <f t="shared" si="78"/>
        <v>0</v>
      </c>
      <c r="J46" s="90"/>
      <c r="K46" s="91"/>
      <c r="L46" s="44">
        <f t="shared" si="79"/>
        <v>0</v>
      </c>
      <c r="M46" s="91"/>
      <c r="N46" s="91"/>
      <c r="O46" s="44">
        <f t="shared" si="80"/>
        <v>0</v>
      </c>
      <c r="P46" s="91"/>
      <c r="Q46" s="91"/>
      <c r="R46" s="44">
        <f t="shared" si="81"/>
        <v>0</v>
      </c>
      <c r="S46" s="91"/>
      <c r="T46" s="91"/>
      <c r="U46" s="44">
        <f t="shared" si="82"/>
        <v>0</v>
      </c>
      <c r="V46" s="91"/>
      <c r="W46" s="91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8"/>
      <c r="D47" s="89"/>
      <c r="E47" s="89"/>
      <c r="F47" s="44">
        <f t="shared" si="77"/>
        <v>0</v>
      </c>
      <c r="G47" s="89"/>
      <c r="H47" s="89"/>
      <c r="I47" s="44">
        <f t="shared" si="78"/>
        <v>0</v>
      </c>
      <c r="J47" s="90"/>
      <c r="K47" s="91"/>
      <c r="L47" s="44">
        <f t="shared" si="79"/>
        <v>0</v>
      </c>
      <c r="M47" s="91"/>
      <c r="N47" s="91"/>
      <c r="O47" s="44">
        <f t="shared" si="80"/>
        <v>0</v>
      </c>
      <c r="P47" s="91"/>
      <c r="Q47" s="91"/>
      <c r="R47" s="44">
        <f t="shared" si="81"/>
        <v>0</v>
      </c>
      <c r="S47" s="91"/>
      <c r="T47" s="91"/>
      <c r="U47" s="44">
        <f t="shared" si="82"/>
        <v>0</v>
      </c>
      <c r="V47" s="91"/>
      <c r="W47" s="91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8"/>
      <c r="D48" s="89"/>
      <c r="E48" s="89"/>
      <c r="F48" s="44">
        <f t="shared" ref="F48:F59" si="93">BA48-BB48</f>
        <v>0</v>
      </c>
      <c r="G48" s="89"/>
      <c r="H48" s="89"/>
      <c r="I48" s="44">
        <f t="shared" ref="I48:I59" si="94">BF48-BG48</f>
        <v>0</v>
      </c>
      <c r="J48" s="90"/>
      <c r="K48" s="91"/>
      <c r="L48" s="44">
        <f t="shared" ref="L48:L59" si="95">BK48-BL48</f>
        <v>0</v>
      </c>
      <c r="M48" s="91"/>
      <c r="N48" s="91"/>
      <c r="O48" s="44">
        <f t="shared" ref="O48:O59" si="96">BP48-BQ48</f>
        <v>0</v>
      </c>
      <c r="P48" s="91"/>
      <c r="Q48" s="91"/>
      <c r="R48" s="44">
        <f t="shared" ref="R48:R59" si="97">BU48-BV48</f>
        <v>0</v>
      </c>
      <c r="S48" s="91"/>
      <c r="T48" s="91"/>
      <c r="U48" s="44">
        <f t="shared" ref="U48:U59" si="98">BZ48-CA48</f>
        <v>0</v>
      </c>
      <c r="V48" s="91"/>
      <c r="W48" s="91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8"/>
      <c r="D49" s="89"/>
      <c r="E49" s="89"/>
      <c r="F49" s="44">
        <f t="shared" si="93"/>
        <v>0</v>
      </c>
      <c r="G49" s="89"/>
      <c r="H49" s="89"/>
      <c r="I49" s="44">
        <f t="shared" si="94"/>
        <v>0</v>
      </c>
      <c r="J49" s="90"/>
      <c r="K49" s="91"/>
      <c r="L49" s="44">
        <f t="shared" si="95"/>
        <v>0</v>
      </c>
      <c r="M49" s="91"/>
      <c r="N49" s="91"/>
      <c r="O49" s="44">
        <f t="shared" si="96"/>
        <v>0</v>
      </c>
      <c r="P49" s="91"/>
      <c r="Q49" s="91"/>
      <c r="R49" s="44">
        <f t="shared" si="97"/>
        <v>0</v>
      </c>
      <c r="S49" s="91"/>
      <c r="T49" s="91"/>
      <c r="U49" s="44">
        <f t="shared" si="98"/>
        <v>0</v>
      </c>
      <c r="V49" s="91"/>
      <c r="W49" s="91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8"/>
      <c r="D50" s="89"/>
      <c r="E50" s="89"/>
      <c r="F50" s="44">
        <f t="shared" si="93"/>
        <v>0</v>
      </c>
      <c r="G50" s="89"/>
      <c r="H50" s="89"/>
      <c r="I50" s="44">
        <f t="shared" si="94"/>
        <v>0</v>
      </c>
      <c r="J50" s="90"/>
      <c r="K50" s="91"/>
      <c r="L50" s="44">
        <f t="shared" si="95"/>
        <v>0</v>
      </c>
      <c r="M50" s="91"/>
      <c r="N50" s="91"/>
      <c r="O50" s="44">
        <f t="shared" si="96"/>
        <v>0</v>
      </c>
      <c r="P50" s="91"/>
      <c r="Q50" s="91"/>
      <c r="R50" s="44">
        <f t="shared" si="97"/>
        <v>0</v>
      </c>
      <c r="S50" s="91"/>
      <c r="T50" s="91"/>
      <c r="U50" s="44">
        <f t="shared" si="98"/>
        <v>0</v>
      </c>
      <c r="V50" s="91"/>
      <c r="W50" s="91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8"/>
      <c r="D51" s="89"/>
      <c r="E51" s="89"/>
      <c r="F51" s="44">
        <f t="shared" si="93"/>
        <v>0</v>
      </c>
      <c r="G51" s="89"/>
      <c r="H51" s="89"/>
      <c r="I51" s="44">
        <f t="shared" si="94"/>
        <v>0</v>
      </c>
      <c r="J51" s="90"/>
      <c r="K51" s="91"/>
      <c r="L51" s="44">
        <f t="shared" si="95"/>
        <v>0</v>
      </c>
      <c r="M51" s="91"/>
      <c r="N51" s="91"/>
      <c r="O51" s="44">
        <f t="shared" si="96"/>
        <v>0</v>
      </c>
      <c r="P51" s="91"/>
      <c r="Q51" s="91"/>
      <c r="R51" s="44">
        <f t="shared" si="97"/>
        <v>0</v>
      </c>
      <c r="S51" s="91"/>
      <c r="T51" s="91"/>
      <c r="U51" s="44">
        <f t="shared" si="98"/>
        <v>0</v>
      </c>
      <c r="V51" s="91"/>
      <c r="W51" s="91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8"/>
      <c r="D52" s="89"/>
      <c r="E52" s="89"/>
      <c r="F52" s="44">
        <f t="shared" si="93"/>
        <v>0</v>
      </c>
      <c r="G52" s="89"/>
      <c r="H52" s="89"/>
      <c r="I52" s="44">
        <f t="shared" si="94"/>
        <v>0</v>
      </c>
      <c r="J52" s="90"/>
      <c r="K52" s="91"/>
      <c r="L52" s="44">
        <f t="shared" si="95"/>
        <v>0</v>
      </c>
      <c r="M52" s="91"/>
      <c r="N52" s="91"/>
      <c r="O52" s="44">
        <f t="shared" si="96"/>
        <v>0</v>
      </c>
      <c r="P52" s="91"/>
      <c r="Q52" s="91"/>
      <c r="R52" s="44">
        <f t="shared" si="97"/>
        <v>0</v>
      </c>
      <c r="S52" s="91"/>
      <c r="T52" s="91"/>
      <c r="U52" s="44">
        <f t="shared" si="98"/>
        <v>0</v>
      </c>
      <c r="V52" s="91"/>
      <c r="W52" s="91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8"/>
      <c r="D53" s="89"/>
      <c r="E53" s="89"/>
      <c r="F53" s="44">
        <f t="shared" si="93"/>
        <v>0</v>
      </c>
      <c r="G53" s="89"/>
      <c r="H53" s="89"/>
      <c r="I53" s="44">
        <f t="shared" si="94"/>
        <v>0</v>
      </c>
      <c r="J53" s="90"/>
      <c r="K53" s="91"/>
      <c r="L53" s="44">
        <f t="shared" si="95"/>
        <v>0</v>
      </c>
      <c r="M53" s="91"/>
      <c r="N53" s="91"/>
      <c r="O53" s="44">
        <f t="shared" si="96"/>
        <v>0</v>
      </c>
      <c r="P53" s="91"/>
      <c r="Q53" s="91"/>
      <c r="R53" s="44">
        <f t="shared" si="97"/>
        <v>0</v>
      </c>
      <c r="S53" s="91"/>
      <c r="T53" s="91"/>
      <c r="U53" s="44">
        <f t="shared" si="98"/>
        <v>0</v>
      </c>
      <c r="V53" s="91"/>
      <c r="W53" s="91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8"/>
      <c r="D54" s="89"/>
      <c r="E54" s="89"/>
      <c r="F54" s="44">
        <f t="shared" si="93"/>
        <v>0</v>
      </c>
      <c r="G54" s="89"/>
      <c r="H54" s="89"/>
      <c r="I54" s="44">
        <f t="shared" si="94"/>
        <v>0</v>
      </c>
      <c r="J54" s="90"/>
      <c r="K54" s="91"/>
      <c r="L54" s="44">
        <f t="shared" si="95"/>
        <v>0</v>
      </c>
      <c r="M54" s="91"/>
      <c r="N54" s="91"/>
      <c r="O54" s="44">
        <f t="shared" si="96"/>
        <v>0</v>
      </c>
      <c r="P54" s="91"/>
      <c r="Q54" s="91"/>
      <c r="R54" s="44">
        <f t="shared" si="97"/>
        <v>0</v>
      </c>
      <c r="S54" s="91"/>
      <c r="T54" s="91"/>
      <c r="U54" s="44">
        <f t="shared" si="98"/>
        <v>0</v>
      </c>
      <c r="V54" s="91"/>
      <c r="W54" s="91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8"/>
      <c r="D55" s="89"/>
      <c r="E55" s="89"/>
      <c r="F55" s="44">
        <f t="shared" si="93"/>
        <v>0</v>
      </c>
      <c r="G55" s="89"/>
      <c r="H55" s="89"/>
      <c r="I55" s="44">
        <f t="shared" si="94"/>
        <v>0</v>
      </c>
      <c r="J55" s="90"/>
      <c r="K55" s="91"/>
      <c r="L55" s="44">
        <f t="shared" si="95"/>
        <v>0</v>
      </c>
      <c r="M55" s="91"/>
      <c r="N55" s="91"/>
      <c r="O55" s="44">
        <f t="shared" si="96"/>
        <v>0</v>
      </c>
      <c r="P55" s="91"/>
      <c r="Q55" s="91"/>
      <c r="R55" s="44">
        <f t="shared" si="97"/>
        <v>0</v>
      </c>
      <c r="S55" s="91"/>
      <c r="T55" s="91"/>
      <c r="U55" s="44">
        <f t="shared" si="98"/>
        <v>0</v>
      </c>
      <c r="V55" s="91"/>
      <c r="W55" s="91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8"/>
      <c r="D56" s="89"/>
      <c r="E56" s="89"/>
      <c r="F56" s="44">
        <f t="shared" si="93"/>
        <v>0</v>
      </c>
      <c r="G56" s="89"/>
      <c r="H56" s="89"/>
      <c r="I56" s="44">
        <f t="shared" si="94"/>
        <v>0</v>
      </c>
      <c r="J56" s="90"/>
      <c r="K56" s="91"/>
      <c r="L56" s="44">
        <f t="shared" si="95"/>
        <v>0</v>
      </c>
      <c r="M56" s="91"/>
      <c r="N56" s="91"/>
      <c r="O56" s="44">
        <f t="shared" si="96"/>
        <v>0</v>
      </c>
      <c r="P56" s="91"/>
      <c r="Q56" s="91"/>
      <c r="R56" s="44">
        <f t="shared" si="97"/>
        <v>0</v>
      </c>
      <c r="S56" s="91"/>
      <c r="T56" s="91"/>
      <c r="U56" s="44">
        <f t="shared" si="98"/>
        <v>0</v>
      </c>
      <c r="V56" s="91"/>
      <c r="W56" s="91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8"/>
      <c r="D57" s="89"/>
      <c r="E57" s="89"/>
      <c r="F57" s="44">
        <f t="shared" si="93"/>
        <v>0</v>
      </c>
      <c r="G57" s="89"/>
      <c r="H57" s="89"/>
      <c r="I57" s="44">
        <f t="shared" si="94"/>
        <v>0</v>
      </c>
      <c r="J57" s="90"/>
      <c r="K57" s="91"/>
      <c r="L57" s="44">
        <f t="shared" si="95"/>
        <v>0</v>
      </c>
      <c r="M57" s="91"/>
      <c r="N57" s="91"/>
      <c r="O57" s="44">
        <f t="shared" si="96"/>
        <v>0</v>
      </c>
      <c r="P57" s="91"/>
      <c r="Q57" s="91"/>
      <c r="R57" s="44">
        <f t="shared" si="97"/>
        <v>0</v>
      </c>
      <c r="S57" s="91"/>
      <c r="T57" s="91"/>
      <c r="U57" s="44">
        <f t="shared" si="98"/>
        <v>0</v>
      </c>
      <c r="V57" s="91"/>
      <c r="W57" s="91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8"/>
      <c r="D58" s="89"/>
      <c r="E58" s="89"/>
      <c r="F58" s="44">
        <f t="shared" si="93"/>
        <v>0</v>
      </c>
      <c r="G58" s="89"/>
      <c r="H58" s="89"/>
      <c r="I58" s="44">
        <f t="shared" si="94"/>
        <v>0</v>
      </c>
      <c r="J58" s="90"/>
      <c r="K58" s="91"/>
      <c r="L58" s="44">
        <f t="shared" si="95"/>
        <v>0</v>
      </c>
      <c r="M58" s="91"/>
      <c r="N58" s="91"/>
      <c r="O58" s="44">
        <f t="shared" si="96"/>
        <v>0</v>
      </c>
      <c r="P58" s="91"/>
      <c r="Q58" s="91"/>
      <c r="R58" s="44">
        <f t="shared" si="97"/>
        <v>0</v>
      </c>
      <c r="S58" s="91"/>
      <c r="T58" s="91"/>
      <c r="U58" s="44">
        <f t="shared" si="98"/>
        <v>0</v>
      </c>
      <c r="V58" s="91"/>
      <c r="W58" s="91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8"/>
      <c r="D59" s="89"/>
      <c r="E59" s="89"/>
      <c r="F59" s="44">
        <f t="shared" si="93"/>
        <v>0</v>
      </c>
      <c r="G59" s="89"/>
      <c r="H59" s="89"/>
      <c r="I59" s="44">
        <f t="shared" si="94"/>
        <v>0</v>
      </c>
      <c r="J59" s="90"/>
      <c r="K59" s="91"/>
      <c r="L59" s="44">
        <f t="shared" si="95"/>
        <v>0</v>
      </c>
      <c r="M59" s="91"/>
      <c r="N59" s="91"/>
      <c r="O59" s="44">
        <f t="shared" si="96"/>
        <v>0</v>
      </c>
      <c r="P59" s="91"/>
      <c r="Q59" s="91"/>
      <c r="R59" s="44">
        <f t="shared" si="97"/>
        <v>0</v>
      </c>
      <c r="S59" s="91"/>
      <c r="T59" s="91"/>
      <c r="U59" s="44">
        <f t="shared" si="98"/>
        <v>0</v>
      </c>
      <c r="V59" s="91"/>
      <c r="W59" s="91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8"/>
      <c r="D60" s="89"/>
      <c r="E60" s="89"/>
      <c r="F60" s="44">
        <f t="shared" si="77"/>
        <v>0</v>
      </c>
      <c r="G60" s="89"/>
      <c r="H60" s="89"/>
      <c r="I60" s="44">
        <f t="shared" si="78"/>
        <v>0</v>
      </c>
      <c r="J60" s="90"/>
      <c r="K60" s="91"/>
      <c r="L60" s="44">
        <f t="shared" si="79"/>
        <v>0</v>
      </c>
      <c r="M60" s="91"/>
      <c r="N60" s="91"/>
      <c r="O60" s="44">
        <f t="shared" si="80"/>
        <v>0</v>
      </c>
      <c r="P60" s="91"/>
      <c r="Q60" s="91"/>
      <c r="R60" s="44">
        <f t="shared" si="81"/>
        <v>0</v>
      </c>
      <c r="S60" s="91"/>
      <c r="T60" s="91"/>
      <c r="U60" s="44">
        <f t="shared" si="82"/>
        <v>0</v>
      </c>
      <c r="V60" s="91"/>
      <c r="W60" s="91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8"/>
      <c r="D61" s="89"/>
      <c r="E61" s="89"/>
      <c r="F61" s="44">
        <f t="shared" si="15"/>
        <v>0</v>
      </c>
      <c r="G61" s="89"/>
      <c r="H61" s="89"/>
      <c r="I61" s="44">
        <f t="shared" si="16"/>
        <v>0</v>
      </c>
      <c r="J61" s="90"/>
      <c r="K61" s="91"/>
      <c r="L61" s="44">
        <f t="shared" si="17"/>
        <v>0</v>
      </c>
      <c r="M61" s="91"/>
      <c r="N61" s="91"/>
      <c r="O61" s="44">
        <f t="shared" si="18"/>
        <v>0</v>
      </c>
      <c r="P61" s="91"/>
      <c r="Q61" s="91"/>
      <c r="R61" s="44">
        <f t="shared" si="19"/>
        <v>0</v>
      </c>
      <c r="S61" s="91"/>
      <c r="T61" s="91"/>
      <c r="U61" s="44">
        <f t="shared" si="20"/>
        <v>0</v>
      </c>
      <c r="V61" s="91"/>
      <c r="W61" s="91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8"/>
      <c r="D62" s="89"/>
      <c r="E62" s="89"/>
      <c r="F62" s="44">
        <f t="shared" si="15"/>
        <v>0</v>
      </c>
      <c r="G62" s="89"/>
      <c r="H62" s="89"/>
      <c r="I62" s="44">
        <f t="shared" si="16"/>
        <v>0</v>
      </c>
      <c r="J62" s="90"/>
      <c r="K62" s="91"/>
      <c r="L62" s="44">
        <f t="shared" si="17"/>
        <v>0</v>
      </c>
      <c r="M62" s="91"/>
      <c r="N62" s="91"/>
      <c r="O62" s="44">
        <f t="shared" si="18"/>
        <v>0</v>
      </c>
      <c r="P62" s="91"/>
      <c r="Q62" s="91"/>
      <c r="R62" s="44">
        <f t="shared" si="19"/>
        <v>0</v>
      </c>
      <c r="S62" s="91"/>
      <c r="T62" s="91"/>
      <c r="U62" s="44">
        <f t="shared" si="20"/>
        <v>0</v>
      </c>
      <c r="V62" s="91"/>
      <c r="W62" s="91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8"/>
      <c r="D63" s="89"/>
      <c r="E63" s="89"/>
      <c r="F63" s="44">
        <f t="shared" si="15"/>
        <v>0</v>
      </c>
      <c r="G63" s="89"/>
      <c r="H63" s="89"/>
      <c r="I63" s="44">
        <f t="shared" si="16"/>
        <v>0</v>
      </c>
      <c r="J63" s="90"/>
      <c r="K63" s="91"/>
      <c r="L63" s="44">
        <f t="shared" si="17"/>
        <v>0</v>
      </c>
      <c r="M63" s="91"/>
      <c r="N63" s="91"/>
      <c r="O63" s="44">
        <f t="shared" si="18"/>
        <v>0</v>
      </c>
      <c r="P63" s="91"/>
      <c r="Q63" s="91"/>
      <c r="R63" s="44">
        <f t="shared" si="19"/>
        <v>0</v>
      </c>
      <c r="S63" s="91"/>
      <c r="T63" s="91"/>
      <c r="U63" s="44">
        <f t="shared" si="20"/>
        <v>0</v>
      </c>
      <c r="V63" s="91"/>
      <c r="W63" s="91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8"/>
      <c r="D64" s="89"/>
      <c r="E64" s="89"/>
      <c r="F64" s="44">
        <f t="shared" si="15"/>
        <v>0</v>
      </c>
      <c r="G64" s="89"/>
      <c r="H64" s="89"/>
      <c r="I64" s="44">
        <f t="shared" si="16"/>
        <v>0</v>
      </c>
      <c r="J64" s="90"/>
      <c r="K64" s="91"/>
      <c r="L64" s="44">
        <f t="shared" si="17"/>
        <v>0</v>
      </c>
      <c r="M64" s="91"/>
      <c r="N64" s="91"/>
      <c r="O64" s="44">
        <f t="shared" si="18"/>
        <v>0</v>
      </c>
      <c r="P64" s="91"/>
      <c r="Q64" s="91"/>
      <c r="R64" s="44">
        <f t="shared" si="19"/>
        <v>0</v>
      </c>
      <c r="S64" s="91"/>
      <c r="T64" s="91"/>
      <c r="U64" s="44">
        <f t="shared" si="20"/>
        <v>0</v>
      </c>
      <c r="V64" s="91"/>
      <c r="W64" s="91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8"/>
      <c r="D65" s="89"/>
      <c r="E65" s="89"/>
      <c r="F65" s="44">
        <f t="shared" si="15"/>
        <v>0</v>
      </c>
      <c r="G65" s="89"/>
      <c r="H65" s="89"/>
      <c r="I65" s="44">
        <f t="shared" si="16"/>
        <v>0</v>
      </c>
      <c r="J65" s="90"/>
      <c r="K65" s="91"/>
      <c r="L65" s="44">
        <f t="shared" si="17"/>
        <v>0</v>
      </c>
      <c r="M65" s="91"/>
      <c r="N65" s="91"/>
      <c r="O65" s="44">
        <f t="shared" si="18"/>
        <v>0</v>
      </c>
      <c r="P65" s="91"/>
      <c r="Q65" s="91"/>
      <c r="R65" s="44">
        <f t="shared" si="19"/>
        <v>0</v>
      </c>
      <c r="S65" s="91"/>
      <c r="T65" s="91"/>
      <c r="U65" s="44">
        <f t="shared" si="20"/>
        <v>0</v>
      </c>
      <c r="V65" s="91"/>
      <c r="W65" s="91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8"/>
      <c r="D66" s="89"/>
      <c r="E66" s="89"/>
      <c r="F66" s="44">
        <f t="shared" si="15"/>
        <v>0</v>
      </c>
      <c r="G66" s="89"/>
      <c r="H66" s="89"/>
      <c r="I66" s="44">
        <f t="shared" si="16"/>
        <v>0</v>
      </c>
      <c r="J66" s="90"/>
      <c r="K66" s="91"/>
      <c r="L66" s="44">
        <f t="shared" si="17"/>
        <v>0</v>
      </c>
      <c r="M66" s="91"/>
      <c r="N66" s="91"/>
      <c r="O66" s="44">
        <f t="shared" si="18"/>
        <v>0</v>
      </c>
      <c r="P66" s="91"/>
      <c r="Q66" s="91"/>
      <c r="R66" s="44">
        <f t="shared" si="19"/>
        <v>0</v>
      </c>
      <c r="S66" s="91"/>
      <c r="T66" s="91"/>
      <c r="U66" s="44">
        <f t="shared" si="20"/>
        <v>0</v>
      </c>
      <c r="V66" s="91"/>
      <c r="W66" s="91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8"/>
      <c r="D67" s="89"/>
      <c r="E67" s="89"/>
      <c r="F67" s="44">
        <f t="shared" si="15"/>
        <v>0</v>
      </c>
      <c r="G67" s="89"/>
      <c r="H67" s="91"/>
      <c r="I67" s="44">
        <f t="shared" si="16"/>
        <v>0</v>
      </c>
      <c r="J67" s="90"/>
      <c r="K67" s="91"/>
      <c r="L67" s="44">
        <f t="shared" si="17"/>
        <v>0</v>
      </c>
      <c r="M67" s="91"/>
      <c r="N67" s="91"/>
      <c r="O67" s="44">
        <f t="shared" si="18"/>
        <v>0</v>
      </c>
      <c r="P67" s="91"/>
      <c r="Q67" s="91"/>
      <c r="R67" s="44">
        <f t="shared" si="19"/>
        <v>0</v>
      </c>
      <c r="S67" s="91"/>
      <c r="T67" s="91"/>
      <c r="U67" s="44">
        <f t="shared" si="20"/>
        <v>0</v>
      </c>
      <c r="V67" s="91"/>
      <c r="W67" s="91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8"/>
      <c r="D68" s="89"/>
      <c r="E68" s="89"/>
      <c r="F68" s="44">
        <f t="shared" si="15"/>
        <v>0</v>
      </c>
      <c r="G68" s="89"/>
      <c r="H68" s="89"/>
      <c r="I68" s="44">
        <f t="shared" si="16"/>
        <v>0</v>
      </c>
      <c r="J68" s="90"/>
      <c r="K68" s="91"/>
      <c r="L68" s="44">
        <f t="shared" si="17"/>
        <v>0</v>
      </c>
      <c r="M68" s="91"/>
      <c r="N68" s="91"/>
      <c r="O68" s="44">
        <f t="shared" si="18"/>
        <v>0</v>
      </c>
      <c r="P68" s="91"/>
      <c r="Q68" s="91"/>
      <c r="R68" s="44">
        <f t="shared" si="19"/>
        <v>0</v>
      </c>
      <c r="S68" s="91"/>
      <c r="T68" s="91"/>
      <c r="U68" s="44">
        <f t="shared" si="20"/>
        <v>0</v>
      </c>
      <c r="V68" s="91"/>
      <c r="W68" s="91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8"/>
      <c r="D69" s="89"/>
      <c r="E69" s="89"/>
      <c r="F69" s="44">
        <f t="shared" si="15"/>
        <v>0</v>
      </c>
      <c r="G69" s="89"/>
      <c r="H69" s="89"/>
      <c r="I69" s="44">
        <f t="shared" si="16"/>
        <v>0</v>
      </c>
      <c r="J69" s="90"/>
      <c r="K69" s="91"/>
      <c r="L69" s="44">
        <f t="shared" si="17"/>
        <v>0</v>
      </c>
      <c r="M69" s="91"/>
      <c r="N69" s="91"/>
      <c r="O69" s="44">
        <f t="shared" si="18"/>
        <v>0</v>
      </c>
      <c r="P69" s="91"/>
      <c r="Q69" s="91"/>
      <c r="R69" s="44">
        <f t="shared" si="19"/>
        <v>0</v>
      </c>
      <c r="S69" s="91"/>
      <c r="T69" s="91"/>
      <c r="U69" s="44">
        <f t="shared" si="20"/>
        <v>0</v>
      </c>
      <c r="V69" s="91"/>
      <c r="W69" s="91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8"/>
      <c r="D70" s="89"/>
      <c r="E70" s="89"/>
      <c r="F70" s="44">
        <f t="shared" ref="F70:F100" si="152">BA70-BB70</f>
        <v>0</v>
      </c>
      <c r="G70" s="89"/>
      <c r="H70" s="89"/>
      <c r="I70" s="44">
        <f t="shared" ref="I70:I100" si="153">BF70-BG70</f>
        <v>0</v>
      </c>
      <c r="J70" s="90"/>
      <c r="K70" s="91"/>
      <c r="L70" s="44">
        <f t="shared" ref="L70:L100" si="154">BK70-BL70</f>
        <v>0</v>
      </c>
      <c r="M70" s="91"/>
      <c r="N70" s="91"/>
      <c r="O70" s="44">
        <f t="shared" ref="O70:O100" si="155">BP70-BQ70</f>
        <v>0</v>
      </c>
      <c r="P70" s="91"/>
      <c r="Q70" s="91"/>
      <c r="R70" s="44">
        <f t="shared" ref="R70:R100" si="156">BU70-BV70</f>
        <v>0</v>
      </c>
      <c r="S70" s="91"/>
      <c r="T70" s="91"/>
      <c r="U70" s="44">
        <f t="shared" ref="U70:U100" si="157">BZ70-CA70</f>
        <v>0</v>
      </c>
      <c r="V70" s="91"/>
      <c r="W70" s="91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8"/>
      <c r="D71" s="89"/>
      <c r="E71" s="89"/>
      <c r="F71" s="44">
        <f t="shared" si="152"/>
        <v>0</v>
      </c>
      <c r="G71" s="89"/>
      <c r="H71" s="89"/>
      <c r="I71" s="44">
        <f t="shared" si="153"/>
        <v>0</v>
      </c>
      <c r="J71" s="90"/>
      <c r="K71" s="91"/>
      <c r="L71" s="44">
        <f t="shared" si="154"/>
        <v>0</v>
      </c>
      <c r="M71" s="91"/>
      <c r="N71" s="91"/>
      <c r="O71" s="44">
        <f t="shared" si="155"/>
        <v>0</v>
      </c>
      <c r="P71" s="91"/>
      <c r="Q71" s="91"/>
      <c r="R71" s="44">
        <f t="shared" si="156"/>
        <v>0</v>
      </c>
      <c r="S71" s="91"/>
      <c r="T71" s="91"/>
      <c r="U71" s="44">
        <f t="shared" si="157"/>
        <v>0</v>
      </c>
      <c r="V71" s="91"/>
      <c r="W71" s="91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8"/>
      <c r="D72" s="89"/>
      <c r="E72" s="89"/>
      <c r="F72" s="44">
        <f t="shared" si="152"/>
        <v>0</v>
      </c>
      <c r="G72" s="89"/>
      <c r="H72" s="89"/>
      <c r="I72" s="44">
        <f t="shared" si="153"/>
        <v>0</v>
      </c>
      <c r="J72" s="90"/>
      <c r="K72" s="91"/>
      <c r="L72" s="44">
        <f t="shared" si="154"/>
        <v>0</v>
      </c>
      <c r="M72" s="91"/>
      <c r="N72" s="91"/>
      <c r="O72" s="44">
        <f t="shared" si="155"/>
        <v>0</v>
      </c>
      <c r="P72" s="91"/>
      <c r="Q72" s="91"/>
      <c r="R72" s="44">
        <f t="shared" si="156"/>
        <v>0</v>
      </c>
      <c r="S72" s="91"/>
      <c r="T72" s="91"/>
      <c r="U72" s="44">
        <f t="shared" si="157"/>
        <v>0</v>
      </c>
      <c r="V72" s="91"/>
      <c r="W72" s="91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8"/>
      <c r="D73" s="89"/>
      <c r="E73" s="89"/>
      <c r="F73" s="44">
        <f t="shared" si="152"/>
        <v>0</v>
      </c>
      <c r="G73" s="89"/>
      <c r="H73" s="89"/>
      <c r="I73" s="44">
        <f t="shared" si="153"/>
        <v>0</v>
      </c>
      <c r="J73" s="90"/>
      <c r="K73" s="91"/>
      <c r="L73" s="44">
        <f t="shared" si="154"/>
        <v>0</v>
      </c>
      <c r="M73" s="91"/>
      <c r="N73" s="91"/>
      <c r="O73" s="44">
        <f t="shared" si="155"/>
        <v>0</v>
      </c>
      <c r="P73" s="91"/>
      <c r="Q73" s="91"/>
      <c r="R73" s="44">
        <f t="shared" si="156"/>
        <v>0</v>
      </c>
      <c r="S73" s="91"/>
      <c r="T73" s="91"/>
      <c r="U73" s="44">
        <f t="shared" si="157"/>
        <v>0</v>
      </c>
      <c r="V73" s="91"/>
      <c r="W73" s="91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8"/>
      <c r="D74" s="89"/>
      <c r="E74" s="89"/>
      <c r="F74" s="44">
        <f t="shared" si="152"/>
        <v>0</v>
      </c>
      <c r="G74" s="89"/>
      <c r="H74" s="89"/>
      <c r="I74" s="44">
        <f t="shared" si="153"/>
        <v>0</v>
      </c>
      <c r="J74" s="90"/>
      <c r="K74" s="91"/>
      <c r="L74" s="44">
        <f t="shared" si="154"/>
        <v>0</v>
      </c>
      <c r="M74" s="91"/>
      <c r="N74" s="91"/>
      <c r="O74" s="44">
        <f t="shared" si="155"/>
        <v>0</v>
      </c>
      <c r="P74" s="91"/>
      <c r="Q74" s="91"/>
      <c r="R74" s="44">
        <f t="shared" si="156"/>
        <v>0</v>
      </c>
      <c r="S74" s="91"/>
      <c r="T74" s="91"/>
      <c r="U74" s="44">
        <f t="shared" si="157"/>
        <v>0</v>
      </c>
      <c r="V74" s="91"/>
      <c r="W74" s="91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8"/>
      <c r="D75" s="89"/>
      <c r="E75" s="89"/>
      <c r="F75" s="44">
        <f t="shared" si="152"/>
        <v>0</v>
      </c>
      <c r="G75" s="89"/>
      <c r="H75" s="89"/>
      <c r="I75" s="44">
        <f t="shared" si="153"/>
        <v>0</v>
      </c>
      <c r="J75" s="90"/>
      <c r="K75" s="91"/>
      <c r="L75" s="44">
        <f t="shared" si="154"/>
        <v>0</v>
      </c>
      <c r="M75" s="91"/>
      <c r="N75" s="91"/>
      <c r="O75" s="44">
        <f t="shared" si="155"/>
        <v>0</v>
      </c>
      <c r="P75" s="91"/>
      <c r="Q75" s="91"/>
      <c r="R75" s="44">
        <f t="shared" si="156"/>
        <v>0</v>
      </c>
      <c r="S75" s="91"/>
      <c r="T75" s="91"/>
      <c r="U75" s="44">
        <f t="shared" si="157"/>
        <v>0</v>
      </c>
      <c r="V75" s="91"/>
      <c r="W75" s="91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8"/>
      <c r="D76" s="89"/>
      <c r="E76" s="89"/>
      <c r="F76" s="44">
        <f t="shared" si="152"/>
        <v>0</v>
      </c>
      <c r="G76" s="89"/>
      <c r="H76" s="89"/>
      <c r="I76" s="44">
        <f t="shared" si="153"/>
        <v>0</v>
      </c>
      <c r="J76" s="90"/>
      <c r="K76" s="91"/>
      <c r="L76" s="44">
        <f t="shared" si="154"/>
        <v>0</v>
      </c>
      <c r="M76" s="91"/>
      <c r="N76" s="91"/>
      <c r="O76" s="44">
        <f t="shared" si="155"/>
        <v>0</v>
      </c>
      <c r="P76" s="91"/>
      <c r="Q76" s="91"/>
      <c r="R76" s="44">
        <f t="shared" si="156"/>
        <v>0</v>
      </c>
      <c r="S76" s="91"/>
      <c r="T76" s="91"/>
      <c r="U76" s="44">
        <f t="shared" si="157"/>
        <v>0</v>
      </c>
      <c r="V76" s="91"/>
      <c r="W76" s="91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8"/>
      <c r="D77" s="89"/>
      <c r="E77" s="89"/>
      <c r="F77" s="44">
        <f t="shared" si="152"/>
        <v>0</v>
      </c>
      <c r="G77" s="89"/>
      <c r="H77" s="89"/>
      <c r="I77" s="44">
        <f t="shared" si="153"/>
        <v>0</v>
      </c>
      <c r="J77" s="90"/>
      <c r="K77" s="91"/>
      <c r="L77" s="44">
        <f t="shared" si="154"/>
        <v>0</v>
      </c>
      <c r="M77" s="91"/>
      <c r="N77" s="91"/>
      <c r="O77" s="44">
        <f t="shared" si="155"/>
        <v>0</v>
      </c>
      <c r="P77" s="91"/>
      <c r="Q77" s="91"/>
      <c r="R77" s="44">
        <f t="shared" si="156"/>
        <v>0</v>
      </c>
      <c r="S77" s="91"/>
      <c r="T77" s="91"/>
      <c r="U77" s="44">
        <f t="shared" si="157"/>
        <v>0</v>
      </c>
      <c r="V77" s="91"/>
      <c r="W77" s="91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8"/>
      <c r="D78" s="89"/>
      <c r="E78" s="89"/>
      <c r="F78" s="44">
        <f t="shared" si="152"/>
        <v>0</v>
      </c>
      <c r="G78" s="89"/>
      <c r="H78" s="89"/>
      <c r="I78" s="44">
        <f t="shared" si="153"/>
        <v>0</v>
      </c>
      <c r="J78" s="90"/>
      <c r="K78" s="91"/>
      <c r="L78" s="44">
        <f t="shared" si="154"/>
        <v>0</v>
      </c>
      <c r="M78" s="91"/>
      <c r="N78" s="91"/>
      <c r="O78" s="44">
        <f t="shared" si="155"/>
        <v>0</v>
      </c>
      <c r="P78" s="91"/>
      <c r="Q78" s="91"/>
      <c r="R78" s="44">
        <f t="shared" si="156"/>
        <v>0</v>
      </c>
      <c r="S78" s="91"/>
      <c r="T78" s="91"/>
      <c r="U78" s="44">
        <f t="shared" si="157"/>
        <v>0</v>
      </c>
      <c r="V78" s="91"/>
      <c r="W78" s="91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8"/>
      <c r="D79" s="89"/>
      <c r="E79" s="89"/>
      <c r="F79" s="44">
        <f t="shared" si="152"/>
        <v>0</v>
      </c>
      <c r="G79" s="89"/>
      <c r="H79" s="89"/>
      <c r="I79" s="44">
        <f t="shared" si="153"/>
        <v>0</v>
      </c>
      <c r="J79" s="90"/>
      <c r="K79" s="91"/>
      <c r="L79" s="44">
        <f t="shared" si="154"/>
        <v>0</v>
      </c>
      <c r="M79" s="91"/>
      <c r="N79" s="91"/>
      <c r="O79" s="44">
        <f t="shared" si="155"/>
        <v>0</v>
      </c>
      <c r="P79" s="91"/>
      <c r="Q79" s="91"/>
      <c r="R79" s="44">
        <f t="shared" si="156"/>
        <v>0</v>
      </c>
      <c r="S79" s="91"/>
      <c r="T79" s="91"/>
      <c r="U79" s="44">
        <f t="shared" si="157"/>
        <v>0</v>
      </c>
      <c r="V79" s="91"/>
      <c r="W79" s="91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8"/>
      <c r="D80" s="89"/>
      <c r="E80" s="89"/>
      <c r="F80" s="44">
        <f t="shared" si="152"/>
        <v>0</v>
      </c>
      <c r="G80" s="89"/>
      <c r="H80" s="89"/>
      <c r="I80" s="44">
        <f t="shared" si="153"/>
        <v>0</v>
      </c>
      <c r="J80" s="90"/>
      <c r="K80" s="91"/>
      <c r="L80" s="44">
        <f t="shared" si="154"/>
        <v>0</v>
      </c>
      <c r="M80" s="91"/>
      <c r="N80" s="91"/>
      <c r="O80" s="44">
        <f t="shared" si="155"/>
        <v>0</v>
      </c>
      <c r="P80" s="91"/>
      <c r="Q80" s="91"/>
      <c r="R80" s="44">
        <f t="shared" si="156"/>
        <v>0</v>
      </c>
      <c r="S80" s="91"/>
      <c r="T80" s="91"/>
      <c r="U80" s="44">
        <f t="shared" si="157"/>
        <v>0</v>
      </c>
      <c r="V80" s="91"/>
      <c r="W80" s="91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8"/>
      <c r="D81" s="89"/>
      <c r="E81" s="89"/>
      <c r="F81" s="44">
        <f t="shared" si="152"/>
        <v>0</v>
      </c>
      <c r="G81" s="89"/>
      <c r="H81" s="89"/>
      <c r="I81" s="44">
        <f t="shared" si="153"/>
        <v>0</v>
      </c>
      <c r="J81" s="90"/>
      <c r="K81" s="91"/>
      <c r="L81" s="44">
        <f t="shared" si="154"/>
        <v>0</v>
      </c>
      <c r="M81" s="91"/>
      <c r="N81" s="91"/>
      <c r="O81" s="44">
        <f t="shared" si="155"/>
        <v>0</v>
      </c>
      <c r="P81" s="91"/>
      <c r="Q81" s="91"/>
      <c r="R81" s="44">
        <f t="shared" si="156"/>
        <v>0</v>
      </c>
      <c r="S81" s="91"/>
      <c r="T81" s="91"/>
      <c r="U81" s="44">
        <f t="shared" si="157"/>
        <v>0</v>
      </c>
      <c r="V81" s="91"/>
      <c r="W81" s="91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8"/>
      <c r="D82" s="89"/>
      <c r="E82" s="89"/>
      <c r="F82" s="44">
        <f t="shared" si="152"/>
        <v>0</v>
      </c>
      <c r="G82" s="89"/>
      <c r="H82" s="89"/>
      <c r="I82" s="44">
        <f t="shared" si="153"/>
        <v>0</v>
      </c>
      <c r="J82" s="90"/>
      <c r="K82" s="91"/>
      <c r="L82" s="44">
        <f t="shared" si="154"/>
        <v>0</v>
      </c>
      <c r="M82" s="91"/>
      <c r="N82" s="91"/>
      <c r="O82" s="44">
        <f t="shared" si="155"/>
        <v>0</v>
      </c>
      <c r="P82" s="91"/>
      <c r="Q82" s="91"/>
      <c r="R82" s="44">
        <f t="shared" si="156"/>
        <v>0</v>
      </c>
      <c r="S82" s="91"/>
      <c r="T82" s="91"/>
      <c r="U82" s="44">
        <f t="shared" si="157"/>
        <v>0</v>
      </c>
      <c r="V82" s="91"/>
      <c r="W82" s="91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8"/>
      <c r="D83" s="89"/>
      <c r="E83" s="89"/>
      <c r="F83" s="44">
        <f t="shared" si="152"/>
        <v>0</v>
      </c>
      <c r="G83" s="89"/>
      <c r="H83" s="89"/>
      <c r="I83" s="44">
        <f t="shared" si="153"/>
        <v>0</v>
      </c>
      <c r="J83" s="90"/>
      <c r="K83" s="91"/>
      <c r="L83" s="44">
        <f t="shared" si="154"/>
        <v>0</v>
      </c>
      <c r="M83" s="91"/>
      <c r="N83" s="91"/>
      <c r="O83" s="44">
        <f t="shared" si="155"/>
        <v>0</v>
      </c>
      <c r="P83" s="91"/>
      <c r="Q83" s="91"/>
      <c r="R83" s="44">
        <f t="shared" si="156"/>
        <v>0</v>
      </c>
      <c r="S83" s="91"/>
      <c r="T83" s="91"/>
      <c r="U83" s="44">
        <f t="shared" si="157"/>
        <v>0</v>
      </c>
      <c r="V83" s="91"/>
      <c r="W83" s="91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8"/>
      <c r="D84" s="89"/>
      <c r="E84" s="89"/>
      <c r="F84" s="44">
        <f t="shared" si="152"/>
        <v>0</v>
      </c>
      <c r="G84" s="89"/>
      <c r="H84" s="89"/>
      <c r="I84" s="44">
        <f t="shared" si="153"/>
        <v>0</v>
      </c>
      <c r="J84" s="90"/>
      <c r="K84" s="91"/>
      <c r="L84" s="44">
        <f t="shared" si="154"/>
        <v>0</v>
      </c>
      <c r="M84" s="91"/>
      <c r="N84" s="91"/>
      <c r="O84" s="44">
        <f t="shared" si="155"/>
        <v>0</v>
      </c>
      <c r="P84" s="91"/>
      <c r="Q84" s="91"/>
      <c r="R84" s="44">
        <f t="shared" si="156"/>
        <v>0</v>
      </c>
      <c r="S84" s="91"/>
      <c r="T84" s="91"/>
      <c r="U84" s="44">
        <f t="shared" si="157"/>
        <v>0</v>
      </c>
      <c r="V84" s="91"/>
      <c r="W84" s="91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8"/>
      <c r="D85" s="89"/>
      <c r="E85" s="89"/>
      <c r="F85" s="44">
        <f t="shared" si="152"/>
        <v>0</v>
      </c>
      <c r="G85" s="89"/>
      <c r="H85" s="89"/>
      <c r="I85" s="44">
        <f t="shared" si="153"/>
        <v>0</v>
      </c>
      <c r="J85" s="90"/>
      <c r="K85" s="91"/>
      <c r="L85" s="44">
        <f t="shared" si="154"/>
        <v>0</v>
      </c>
      <c r="M85" s="91"/>
      <c r="N85" s="91"/>
      <c r="O85" s="44">
        <f t="shared" si="155"/>
        <v>0</v>
      </c>
      <c r="P85" s="91"/>
      <c r="Q85" s="91"/>
      <c r="R85" s="44">
        <f t="shared" si="156"/>
        <v>0</v>
      </c>
      <c r="S85" s="91"/>
      <c r="T85" s="91"/>
      <c r="U85" s="44">
        <f t="shared" si="157"/>
        <v>0</v>
      </c>
      <c r="V85" s="91"/>
      <c r="W85" s="91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8"/>
      <c r="D86" s="89"/>
      <c r="E86" s="89"/>
      <c r="F86" s="44">
        <f t="shared" si="152"/>
        <v>0</v>
      </c>
      <c r="G86" s="89"/>
      <c r="H86" s="89"/>
      <c r="I86" s="44">
        <f t="shared" si="153"/>
        <v>0</v>
      </c>
      <c r="J86" s="90"/>
      <c r="K86" s="91"/>
      <c r="L86" s="44">
        <f t="shared" si="154"/>
        <v>0</v>
      </c>
      <c r="M86" s="91"/>
      <c r="N86" s="91"/>
      <c r="O86" s="44">
        <f t="shared" si="155"/>
        <v>0</v>
      </c>
      <c r="P86" s="91"/>
      <c r="Q86" s="91"/>
      <c r="R86" s="44">
        <f t="shared" si="156"/>
        <v>0</v>
      </c>
      <c r="S86" s="91"/>
      <c r="T86" s="91"/>
      <c r="U86" s="44">
        <f t="shared" si="157"/>
        <v>0</v>
      </c>
      <c r="V86" s="91"/>
      <c r="W86" s="91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8"/>
      <c r="D87" s="89"/>
      <c r="E87" s="89"/>
      <c r="F87" s="44">
        <f t="shared" si="152"/>
        <v>0</v>
      </c>
      <c r="G87" s="89"/>
      <c r="H87" s="89"/>
      <c r="I87" s="44">
        <f t="shared" si="153"/>
        <v>0</v>
      </c>
      <c r="J87" s="90"/>
      <c r="K87" s="91"/>
      <c r="L87" s="44">
        <f t="shared" si="154"/>
        <v>0</v>
      </c>
      <c r="M87" s="91"/>
      <c r="N87" s="91"/>
      <c r="O87" s="44">
        <f t="shared" si="155"/>
        <v>0</v>
      </c>
      <c r="P87" s="91"/>
      <c r="Q87" s="91"/>
      <c r="R87" s="44">
        <f t="shared" si="156"/>
        <v>0</v>
      </c>
      <c r="S87" s="91"/>
      <c r="T87" s="91"/>
      <c r="U87" s="44">
        <f t="shared" si="157"/>
        <v>0</v>
      </c>
      <c r="V87" s="91"/>
      <c r="W87" s="91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8"/>
      <c r="D88" s="89"/>
      <c r="E88" s="89"/>
      <c r="F88" s="44">
        <f t="shared" si="152"/>
        <v>0</v>
      </c>
      <c r="G88" s="89"/>
      <c r="H88" s="89"/>
      <c r="I88" s="44">
        <f t="shared" si="153"/>
        <v>0</v>
      </c>
      <c r="J88" s="90"/>
      <c r="K88" s="91"/>
      <c r="L88" s="44">
        <f t="shared" si="154"/>
        <v>0</v>
      </c>
      <c r="M88" s="91"/>
      <c r="N88" s="91"/>
      <c r="O88" s="44">
        <f t="shared" si="155"/>
        <v>0</v>
      </c>
      <c r="P88" s="91"/>
      <c r="Q88" s="91"/>
      <c r="R88" s="44">
        <f t="shared" si="156"/>
        <v>0</v>
      </c>
      <c r="S88" s="91"/>
      <c r="T88" s="91"/>
      <c r="U88" s="44">
        <f t="shared" si="157"/>
        <v>0</v>
      </c>
      <c r="V88" s="91"/>
      <c r="W88" s="91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8"/>
      <c r="D89" s="89"/>
      <c r="E89" s="89"/>
      <c r="F89" s="44">
        <f t="shared" si="152"/>
        <v>0</v>
      </c>
      <c r="G89" s="89"/>
      <c r="H89" s="89"/>
      <c r="I89" s="44">
        <f t="shared" si="153"/>
        <v>0</v>
      </c>
      <c r="J89" s="90"/>
      <c r="K89" s="91"/>
      <c r="L89" s="44">
        <f t="shared" si="154"/>
        <v>0</v>
      </c>
      <c r="M89" s="91"/>
      <c r="N89" s="91"/>
      <c r="O89" s="44">
        <f t="shared" si="155"/>
        <v>0</v>
      </c>
      <c r="P89" s="91"/>
      <c r="Q89" s="91"/>
      <c r="R89" s="44">
        <f t="shared" si="156"/>
        <v>0</v>
      </c>
      <c r="S89" s="91"/>
      <c r="T89" s="91"/>
      <c r="U89" s="44">
        <f t="shared" si="157"/>
        <v>0</v>
      </c>
      <c r="V89" s="91"/>
      <c r="W89" s="91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8"/>
      <c r="D90" s="89"/>
      <c r="E90" s="89"/>
      <c r="F90" s="44">
        <f t="shared" si="152"/>
        <v>0</v>
      </c>
      <c r="G90" s="89"/>
      <c r="H90" s="89"/>
      <c r="I90" s="44">
        <f t="shared" si="153"/>
        <v>0</v>
      </c>
      <c r="J90" s="90"/>
      <c r="K90" s="91"/>
      <c r="L90" s="44">
        <f t="shared" si="154"/>
        <v>0</v>
      </c>
      <c r="M90" s="91"/>
      <c r="N90" s="91"/>
      <c r="O90" s="44">
        <f t="shared" si="155"/>
        <v>0</v>
      </c>
      <c r="P90" s="91"/>
      <c r="Q90" s="91"/>
      <c r="R90" s="44">
        <f t="shared" si="156"/>
        <v>0</v>
      </c>
      <c r="S90" s="91"/>
      <c r="T90" s="91"/>
      <c r="U90" s="44">
        <f t="shared" si="157"/>
        <v>0</v>
      </c>
      <c r="V90" s="91"/>
      <c r="W90" s="91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8"/>
      <c r="D91" s="89"/>
      <c r="E91" s="89"/>
      <c r="F91" s="44">
        <f t="shared" si="152"/>
        <v>0</v>
      </c>
      <c r="G91" s="89"/>
      <c r="H91" s="89"/>
      <c r="I91" s="44">
        <f t="shared" si="153"/>
        <v>0</v>
      </c>
      <c r="J91" s="90"/>
      <c r="K91" s="91"/>
      <c r="L91" s="44">
        <f t="shared" si="154"/>
        <v>0</v>
      </c>
      <c r="M91" s="91"/>
      <c r="N91" s="91"/>
      <c r="O91" s="44">
        <f t="shared" si="155"/>
        <v>0</v>
      </c>
      <c r="P91" s="91"/>
      <c r="Q91" s="91"/>
      <c r="R91" s="44">
        <f t="shared" si="156"/>
        <v>0</v>
      </c>
      <c r="S91" s="91"/>
      <c r="T91" s="91"/>
      <c r="U91" s="44">
        <f t="shared" si="157"/>
        <v>0</v>
      </c>
      <c r="V91" s="91"/>
      <c r="W91" s="91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8"/>
      <c r="D92" s="89"/>
      <c r="E92" s="89"/>
      <c r="F92" s="44">
        <f t="shared" si="152"/>
        <v>0</v>
      </c>
      <c r="G92" s="89"/>
      <c r="H92" s="89"/>
      <c r="I92" s="44">
        <f t="shared" si="153"/>
        <v>0</v>
      </c>
      <c r="J92" s="90"/>
      <c r="K92" s="91"/>
      <c r="L92" s="44">
        <f t="shared" si="154"/>
        <v>0</v>
      </c>
      <c r="M92" s="91"/>
      <c r="N92" s="91"/>
      <c r="O92" s="44">
        <f t="shared" si="155"/>
        <v>0</v>
      </c>
      <c r="P92" s="91"/>
      <c r="Q92" s="91"/>
      <c r="R92" s="44">
        <f t="shared" si="156"/>
        <v>0</v>
      </c>
      <c r="S92" s="91"/>
      <c r="T92" s="91"/>
      <c r="U92" s="44">
        <f t="shared" si="157"/>
        <v>0</v>
      </c>
      <c r="V92" s="91"/>
      <c r="W92" s="91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8"/>
      <c r="D93" s="89"/>
      <c r="E93" s="89"/>
      <c r="F93" s="44">
        <f t="shared" si="152"/>
        <v>0</v>
      </c>
      <c r="G93" s="89"/>
      <c r="H93" s="89"/>
      <c r="I93" s="44">
        <f t="shared" si="153"/>
        <v>0</v>
      </c>
      <c r="J93" s="90"/>
      <c r="K93" s="91"/>
      <c r="L93" s="44">
        <f t="shared" si="154"/>
        <v>0</v>
      </c>
      <c r="M93" s="91"/>
      <c r="N93" s="91"/>
      <c r="O93" s="44">
        <f t="shared" si="155"/>
        <v>0</v>
      </c>
      <c r="P93" s="91"/>
      <c r="Q93" s="91"/>
      <c r="R93" s="44">
        <f t="shared" si="156"/>
        <v>0</v>
      </c>
      <c r="S93" s="91"/>
      <c r="T93" s="91"/>
      <c r="U93" s="44">
        <f t="shared" si="157"/>
        <v>0</v>
      </c>
      <c r="V93" s="91"/>
      <c r="W93" s="91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8"/>
      <c r="D94" s="89"/>
      <c r="E94" s="89"/>
      <c r="F94" s="44">
        <f t="shared" si="152"/>
        <v>0</v>
      </c>
      <c r="G94" s="89"/>
      <c r="H94" s="89"/>
      <c r="I94" s="44">
        <f t="shared" si="153"/>
        <v>0</v>
      </c>
      <c r="J94" s="90"/>
      <c r="K94" s="91"/>
      <c r="L94" s="44">
        <f t="shared" si="154"/>
        <v>0</v>
      </c>
      <c r="M94" s="91"/>
      <c r="N94" s="91"/>
      <c r="O94" s="44">
        <f t="shared" si="155"/>
        <v>0</v>
      </c>
      <c r="P94" s="91"/>
      <c r="Q94" s="91"/>
      <c r="R94" s="44">
        <f t="shared" si="156"/>
        <v>0</v>
      </c>
      <c r="S94" s="91"/>
      <c r="T94" s="91"/>
      <c r="U94" s="44">
        <f t="shared" si="157"/>
        <v>0</v>
      </c>
      <c r="V94" s="91"/>
      <c r="W94" s="91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8"/>
      <c r="D95" s="89"/>
      <c r="E95" s="89"/>
      <c r="F95" s="44">
        <f t="shared" si="152"/>
        <v>0</v>
      </c>
      <c r="G95" s="89"/>
      <c r="H95" s="89"/>
      <c r="I95" s="44">
        <f t="shared" si="153"/>
        <v>0</v>
      </c>
      <c r="J95" s="90"/>
      <c r="K95" s="91"/>
      <c r="L95" s="44">
        <f t="shared" si="154"/>
        <v>0</v>
      </c>
      <c r="M95" s="91"/>
      <c r="N95" s="91"/>
      <c r="O95" s="44">
        <f t="shared" si="155"/>
        <v>0</v>
      </c>
      <c r="P95" s="91"/>
      <c r="Q95" s="91"/>
      <c r="R95" s="44">
        <f t="shared" si="156"/>
        <v>0</v>
      </c>
      <c r="S95" s="91"/>
      <c r="T95" s="91"/>
      <c r="U95" s="44">
        <f t="shared" si="157"/>
        <v>0</v>
      </c>
      <c r="V95" s="91"/>
      <c r="W95" s="91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8"/>
      <c r="D96" s="89"/>
      <c r="E96" s="89"/>
      <c r="F96" s="44">
        <f t="shared" si="152"/>
        <v>0</v>
      </c>
      <c r="G96" s="89"/>
      <c r="H96" s="89"/>
      <c r="I96" s="44">
        <f t="shared" si="153"/>
        <v>0</v>
      </c>
      <c r="J96" s="90"/>
      <c r="K96" s="91"/>
      <c r="L96" s="44">
        <f t="shared" si="154"/>
        <v>0</v>
      </c>
      <c r="M96" s="91"/>
      <c r="N96" s="91"/>
      <c r="O96" s="44">
        <f t="shared" si="155"/>
        <v>0</v>
      </c>
      <c r="P96" s="91"/>
      <c r="Q96" s="91"/>
      <c r="R96" s="44">
        <f t="shared" si="156"/>
        <v>0</v>
      </c>
      <c r="S96" s="91"/>
      <c r="T96" s="91"/>
      <c r="U96" s="44">
        <f t="shared" si="157"/>
        <v>0</v>
      </c>
      <c r="V96" s="91"/>
      <c r="W96" s="91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8"/>
      <c r="D97" s="89"/>
      <c r="E97" s="89"/>
      <c r="F97" s="44">
        <f t="shared" si="152"/>
        <v>0</v>
      </c>
      <c r="G97" s="89"/>
      <c r="H97" s="89"/>
      <c r="I97" s="44">
        <f t="shared" si="153"/>
        <v>0</v>
      </c>
      <c r="J97" s="90"/>
      <c r="K97" s="91"/>
      <c r="L97" s="44">
        <f t="shared" si="154"/>
        <v>0</v>
      </c>
      <c r="M97" s="91"/>
      <c r="N97" s="91"/>
      <c r="O97" s="44">
        <f t="shared" si="155"/>
        <v>0</v>
      </c>
      <c r="P97" s="91"/>
      <c r="Q97" s="91"/>
      <c r="R97" s="44">
        <f t="shared" si="156"/>
        <v>0</v>
      </c>
      <c r="S97" s="91"/>
      <c r="T97" s="91"/>
      <c r="U97" s="44">
        <f t="shared" si="157"/>
        <v>0</v>
      </c>
      <c r="V97" s="91"/>
      <c r="W97" s="91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8"/>
      <c r="D98" s="89"/>
      <c r="E98" s="89"/>
      <c r="F98" s="44">
        <f t="shared" si="152"/>
        <v>0</v>
      </c>
      <c r="G98" s="89"/>
      <c r="H98" s="89"/>
      <c r="I98" s="44">
        <f t="shared" si="153"/>
        <v>0</v>
      </c>
      <c r="J98" s="90"/>
      <c r="K98" s="91"/>
      <c r="L98" s="44">
        <f t="shared" si="154"/>
        <v>0</v>
      </c>
      <c r="M98" s="91"/>
      <c r="N98" s="91"/>
      <c r="O98" s="44">
        <f t="shared" si="155"/>
        <v>0</v>
      </c>
      <c r="P98" s="91"/>
      <c r="Q98" s="91"/>
      <c r="R98" s="44">
        <f t="shared" si="156"/>
        <v>0</v>
      </c>
      <c r="S98" s="91"/>
      <c r="T98" s="91"/>
      <c r="U98" s="44">
        <f t="shared" si="157"/>
        <v>0</v>
      </c>
      <c r="V98" s="91"/>
      <c r="W98" s="91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8"/>
      <c r="D99" s="89"/>
      <c r="E99" s="89"/>
      <c r="F99" s="44">
        <f t="shared" si="152"/>
        <v>0</v>
      </c>
      <c r="G99" s="89"/>
      <c r="H99" s="89"/>
      <c r="I99" s="44">
        <f t="shared" si="153"/>
        <v>0</v>
      </c>
      <c r="J99" s="90"/>
      <c r="K99" s="91"/>
      <c r="L99" s="44">
        <f t="shared" si="154"/>
        <v>0</v>
      </c>
      <c r="M99" s="91"/>
      <c r="N99" s="91"/>
      <c r="O99" s="44">
        <f t="shared" si="155"/>
        <v>0</v>
      </c>
      <c r="P99" s="91"/>
      <c r="Q99" s="91"/>
      <c r="R99" s="44">
        <f t="shared" si="156"/>
        <v>0</v>
      </c>
      <c r="S99" s="91"/>
      <c r="T99" s="91"/>
      <c r="U99" s="44">
        <f t="shared" si="157"/>
        <v>0</v>
      </c>
      <c r="V99" s="91"/>
      <c r="W99" s="91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8"/>
      <c r="D100" s="89"/>
      <c r="E100" s="89"/>
      <c r="F100" s="44">
        <f t="shared" si="152"/>
        <v>0</v>
      </c>
      <c r="G100" s="89"/>
      <c r="H100" s="89"/>
      <c r="I100" s="44">
        <f t="shared" si="153"/>
        <v>0</v>
      </c>
      <c r="J100" s="90"/>
      <c r="K100" s="91"/>
      <c r="L100" s="44">
        <f t="shared" si="154"/>
        <v>0</v>
      </c>
      <c r="M100" s="91"/>
      <c r="N100" s="91"/>
      <c r="O100" s="44">
        <f t="shared" si="155"/>
        <v>0</v>
      </c>
      <c r="P100" s="91"/>
      <c r="Q100" s="91"/>
      <c r="R100" s="44">
        <f t="shared" si="156"/>
        <v>0</v>
      </c>
      <c r="S100" s="91"/>
      <c r="T100" s="91"/>
      <c r="U100" s="44">
        <f t="shared" si="157"/>
        <v>0</v>
      </c>
      <c r="V100" s="91"/>
      <c r="W100" s="91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 r:id="rId1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AK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10299</v>
      </c>
      <c r="B2" s="73" t="s">
        <v>899</v>
      </c>
      <c r="C2" s="97" t="s">
        <v>1410</v>
      </c>
      <c r="D2" s="75">
        <v>0.47361111111111109</v>
      </c>
      <c r="E2" s="75">
        <v>1.0208333333333333</v>
      </c>
      <c r="F2" s="92">
        <f>BA2-BB2</f>
        <v>12.133333333333333</v>
      </c>
      <c r="G2" s="75">
        <v>0.46736111111111112</v>
      </c>
      <c r="H2" s="75">
        <v>1.0208333333333333</v>
      </c>
      <c r="I2" s="92">
        <f>BF2-BG2</f>
        <v>12.283333333333331</v>
      </c>
      <c r="J2" s="75">
        <v>0.74513888888888891</v>
      </c>
      <c r="K2" s="75">
        <v>1.0090277777777779</v>
      </c>
      <c r="L2" s="92">
        <f>BK2-BL2</f>
        <v>5.8333333333333348</v>
      </c>
      <c r="M2" s="75">
        <v>0.4826388888888889</v>
      </c>
      <c r="N2" s="75">
        <v>0.75</v>
      </c>
      <c r="O2" s="92">
        <f>BP2-BQ2</f>
        <v>5.9166666666666661</v>
      </c>
      <c r="P2" s="75">
        <v>0.48402777777777778</v>
      </c>
      <c r="Q2" s="75">
        <v>0.74861111111111112</v>
      </c>
      <c r="R2" s="92">
        <f>BU2-BV2</f>
        <v>5.85</v>
      </c>
      <c r="S2" s="75">
        <v>0.47638888888888886</v>
      </c>
      <c r="T2" s="75">
        <v>1.0208333333333333</v>
      </c>
      <c r="U2" s="92">
        <f>BZ2-CA2</f>
        <v>12.066666666666666</v>
      </c>
      <c r="V2" s="75"/>
      <c r="W2" s="76"/>
      <c r="X2" s="92">
        <f>CE2-CF2</f>
        <v>0</v>
      </c>
      <c r="Y2" s="92"/>
      <c r="Z2" s="92"/>
      <c r="AA2" s="92"/>
      <c r="AB2" s="96">
        <f>SUM(F2,I2,L2,O2,R2,U2,X2)</f>
        <v>54.083333333333329</v>
      </c>
      <c r="AC2" s="93"/>
      <c r="AD2" s="78">
        <v>5.5</v>
      </c>
      <c r="AE2" s="94">
        <f>SUMIF($BC$1:$CI$1,AE$1,$BC2:$CI2)+AD2</f>
        <v>40.299999999999997</v>
      </c>
      <c r="AF2" s="78">
        <v>1</v>
      </c>
      <c r="AG2" s="94">
        <f>SUMIF($BC$1:$CI$1,AG$1,$BC2:$CI2)+AF2</f>
        <v>12.56666666666667</v>
      </c>
      <c r="AH2" s="78"/>
      <c r="AI2" s="94">
        <f>SUMIF($BC$1:$CI$1,AI$1,$BC2:$CI2)+AH2</f>
        <v>0.49999999999999822</v>
      </c>
      <c r="AJ2" s="77"/>
      <c r="AK2" s="94">
        <f>SUMIF($BC$1:$CI$1,AK$1,$BC2:$CI2)+AJ2</f>
        <v>0</v>
      </c>
      <c r="AL2" s="78"/>
      <c r="AM2" s="94">
        <f>SUMIF($BC$1:$CI$1,AM$1,$BC2:$CI2)+AL2</f>
        <v>6.0000000000000027</v>
      </c>
      <c r="AN2" s="77"/>
      <c r="AO2" s="94">
        <f>SUMIF($BC$1:$CI$1,AO$1,$BC2:$CI2)+AN2</f>
        <v>1.216666666666665</v>
      </c>
      <c r="AP2" s="95">
        <f>CK2</f>
        <v>6</v>
      </c>
      <c r="AQ2" s="77"/>
      <c r="AR2" s="77"/>
      <c r="AS2" s="77"/>
      <c r="AT2" s="63">
        <f>AE2+AG2+AI2+AK2+AM2+AO2+SUM(AQ2:AS2)</f>
        <v>60.583333333333329</v>
      </c>
      <c r="AU2" s="78" t="s">
        <v>1412</v>
      </c>
      <c r="AV2" s="5"/>
      <c r="AW2" s="5"/>
      <c r="AX2" s="5"/>
      <c r="AY2" s="5"/>
      <c r="AZ2" s="24">
        <f>VLOOKUP(C2,Employees!D:I,6,FALSE)</f>
        <v>10299</v>
      </c>
      <c r="BA2" s="5">
        <f>IF(ISBLANK(D2),0,(E2-D2)*24)</f>
        <v>13.133333333333333</v>
      </c>
      <c r="BB2" s="5">
        <f>IF(BA2&gt;$AY$1,1,IF(BA2&gt;=$AX$1,0.5,0))</f>
        <v>1</v>
      </c>
      <c r="BC2" s="5">
        <f>BA2-BB2-BD2-BE2</f>
        <v>9.6333333333333346</v>
      </c>
      <c r="BD2" s="5">
        <f>IF(AND(E2&gt;$AV$1, D2&lt;$AW$1),(MIN(E2,$AW$1)-MAX(D2,$AV$1))*24,0)</f>
        <v>2.0000000000000009</v>
      </c>
      <c r="BE2" s="5">
        <f>IF(E2&gt;$AW$1,(E2-MAX(D2,$AW$1))*24,0)</f>
        <v>0.49999999999999822</v>
      </c>
      <c r="BF2" s="5">
        <f t="shared" ref="BF2" si="1">IF(ISBLANK(G2),0,(H2-G2)*24)</f>
        <v>13.283333333333331</v>
      </c>
      <c r="BG2" s="5">
        <f>IF(BF2&gt;$AY$1,1,IF(BF2&gt;=$AX$1,0.5,0))</f>
        <v>1</v>
      </c>
      <c r="BH2" s="5">
        <f>BF2-BG2-BI2-BJ2</f>
        <v>9.7833333333333332</v>
      </c>
      <c r="BI2" s="5">
        <f>IF(AND(H2&gt;$AV$1,G2&lt;$AW$1),(MIN(H2,$AW$1)-MAX(G2,$AV$1))*24,0)</f>
        <v>2.0000000000000009</v>
      </c>
      <c r="BJ2" s="5">
        <f>IF(H2&gt;$AW$1,(H2-MAX(G2,$AW$1))*24,0)</f>
        <v>0.49999999999999822</v>
      </c>
      <c r="BK2" s="5">
        <f t="shared" ref="BK2" si="2">IF(ISBLANK(J2),0,(K2-J2)*24)</f>
        <v>6.3333333333333348</v>
      </c>
      <c r="BL2" s="5">
        <f>IF(BK2&gt;$AY$1,1,IF(BK2&gt;=$AX$1,0.5,0))</f>
        <v>0.5</v>
      </c>
      <c r="BM2" s="5">
        <f>BK2-BL2-BN2-BO2</f>
        <v>3.6166666666666654</v>
      </c>
      <c r="BN2" s="5">
        <f>IF(AND(K2&gt;$AV$1, J2&lt;$AW$1),(MIN(K2,$AW$1)-MAX(J2,$AV$1))*24,0)</f>
        <v>2.0000000000000009</v>
      </c>
      <c r="BO2" s="5">
        <f>IF(K2&gt;$AW$1,(K2-MAX(J2,$AW$1))*24,0)</f>
        <v>0.21666666666666856</v>
      </c>
      <c r="BP2" s="5">
        <f t="shared" ref="BP2" si="3">IF(ISBLANK(M2),0,(N2-M2)*24)</f>
        <v>6.4166666666666661</v>
      </c>
      <c r="BQ2" s="5">
        <f>IF(BP2&gt;$AY$1,1,IF(BP2&gt;=$AX$1,0.5,0))</f>
        <v>0.5</v>
      </c>
      <c r="BR2" s="5">
        <f>BP2-BQ2-BS2-BT2</f>
        <v>5.9166666666666661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6.35</v>
      </c>
      <c r="BV2" s="5">
        <f>IF(BU2&gt;$AY$1,1,IF(BU2&gt;=$AX$1,0.5,0))</f>
        <v>0.5</v>
      </c>
      <c r="BW2" s="5">
        <f>BU2-BV2-BX2-BY2</f>
        <v>5.85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13.066666666666666</v>
      </c>
      <c r="CA2" s="5">
        <f>IF(BZ2&gt;$AY$1,1,IF(BZ2&gt;=$AX$1,0.5,0))</f>
        <v>1</v>
      </c>
      <c r="CB2" s="5">
        <f>BZ2-CA2-CC2-CD2</f>
        <v>9.5666666666666682</v>
      </c>
      <c r="CC2" s="5">
        <f>IF(AND(T2&gt;$AV$1, S2&lt;$AW$1),(MIN(T2,$AW$1)-MAX(S2,$AV$1))*24,0)</f>
        <v>2.0000000000000009</v>
      </c>
      <c r="CD2" s="5">
        <f>IF(T2&gt;$AW$1,(T2-MAX(S2,$AW$1))*24,0)</f>
        <v>0.49999999999999822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6</v>
      </c>
    </row>
    <row r="3" spans="1:89" ht="47" customHeight="1">
      <c r="A3" s="74">
        <f t="shared" si="0"/>
        <v>10052</v>
      </c>
      <c r="B3" s="73" t="s">
        <v>899</v>
      </c>
      <c r="C3" s="98" t="s">
        <v>1411</v>
      </c>
      <c r="D3" s="75"/>
      <c r="E3" s="75"/>
      <c r="F3" s="92">
        <f t="shared" ref="F3:F74" si="9">BA3-BB3</f>
        <v>0</v>
      </c>
      <c r="G3" s="75"/>
      <c r="H3" s="75"/>
      <c r="I3" s="92">
        <f t="shared" ref="I3:I74" si="10">BF3-BG3</f>
        <v>0</v>
      </c>
      <c r="J3" s="75">
        <v>0.46180555555555558</v>
      </c>
      <c r="K3" s="75">
        <v>0.74583333333333335</v>
      </c>
      <c r="L3" s="92">
        <f t="shared" ref="L3:L74" si="11">BK3-BL3</f>
        <v>6.3166666666666664</v>
      </c>
      <c r="M3" s="75">
        <v>0.73333333333333328</v>
      </c>
      <c r="N3" s="75">
        <v>1.007638888888889</v>
      </c>
      <c r="O3" s="92">
        <f t="shared" ref="O3:O74" si="12">BP3-BQ3</f>
        <v>6.0833333333333366</v>
      </c>
      <c r="P3" s="75">
        <v>0.7416666666666667</v>
      </c>
      <c r="Q3" s="75">
        <v>1.0097222222222222</v>
      </c>
      <c r="R3" s="92">
        <f t="shared" ref="R3:R74" si="13">BU3-BV3</f>
        <v>5.9333333333333318</v>
      </c>
      <c r="S3" s="85"/>
      <c r="T3" s="85"/>
      <c r="U3" s="92">
        <f t="shared" ref="U3:U74" si="14">BZ3-CA3</f>
        <v>0</v>
      </c>
      <c r="V3" s="75">
        <v>0.45902777777777776</v>
      </c>
      <c r="W3" s="75">
        <v>1.0090277777777779</v>
      </c>
      <c r="X3" s="92">
        <f t="shared" ref="X3:X74" si="15">CE3-CF3</f>
        <v>12.200000000000001</v>
      </c>
      <c r="Y3" s="92"/>
      <c r="Z3" s="92"/>
      <c r="AA3" s="92"/>
      <c r="AB3" s="96">
        <f t="shared" ref="AB3:AB74" si="16">SUM(F3,I3,L3,O3,R3,U3,X3)</f>
        <v>30.533333333333339</v>
      </c>
      <c r="AC3" s="93"/>
      <c r="AD3" s="78">
        <v>1.5</v>
      </c>
      <c r="AE3" s="94">
        <f t="shared" ref="AE3:AE74" si="17">SUMIF($BC$1:$CI$1,AE$1,$BC3:$CI3)+AD3</f>
        <v>15.416666666666664</v>
      </c>
      <c r="AF3" s="78"/>
      <c r="AG3" s="94">
        <f t="shared" ref="AG3:AG74" si="18">SUMIF($BC$1:$CI$1,AG$1,$BC3:$CI3)+AF3</f>
        <v>0.2333333333333325</v>
      </c>
      <c r="AH3" s="78">
        <v>1</v>
      </c>
      <c r="AI3" s="94">
        <f t="shared" ref="AI3:AI74" si="19">SUMIF($BC$1:$CI$1,AI$1,$BC3:$CI3)+AH3</f>
        <v>12.983333333333331</v>
      </c>
      <c r="AJ3" s="77"/>
      <c r="AK3" s="94">
        <f t="shared" ref="AK3:AK74" si="20">SUMIF($BC$1:$CI$1,AK$1,$BC3:$CI3)+AJ3</f>
        <v>0</v>
      </c>
      <c r="AL3" s="78"/>
      <c r="AM3" s="94">
        <f t="shared" ref="AM3:AM74" si="21">SUMIF($BC$1:$CI$1,AM$1,$BC3:$CI3)+AL3</f>
        <v>4.0000000000000018</v>
      </c>
      <c r="AN3" s="77"/>
      <c r="AO3" s="94">
        <f t="shared" ref="AO3:AO74" si="22">SUMIF($BC$1:$CI$1,AO$1,$BC3:$CI3)+AN3</f>
        <v>0.40000000000000391</v>
      </c>
      <c r="AP3" s="95">
        <f t="shared" ref="AP3:AP74" si="23">CK3</f>
        <v>4</v>
      </c>
      <c r="AQ3" s="77"/>
      <c r="AR3" s="77"/>
      <c r="AS3" s="77"/>
      <c r="AT3" s="63">
        <f t="shared" ref="AT3:AT74" si="24">AE3+AG3+AI3+AK3+AM3+AO3+SUM(AQ3:AS3)</f>
        <v>33.033333333333331</v>
      </c>
      <c r="AU3" s="78" t="s">
        <v>1413</v>
      </c>
      <c r="AV3" s="5"/>
      <c r="AW3" s="5"/>
      <c r="AX3" s="5"/>
      <c r="AY3" s="5"/>
      <c r="AZ3" s="24">
        <f>VLOOKUP(C3,Employees!D:I,6,FALSE)</f>
        <v>10052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6.8166666666666664</v>
      </c>
      <c r="BL3" s="5">
        <f t="shared" ref="BL3:BL66" si="36">IF(BK3&gt;$AY$1,1,IF(BK3&gt;=$AX$1,0.5,0))</f>
        <v>0.5</v>
      </c>
      <c r="BM3" s="5">
        <f t="shared" ref="BM3:BM66" si="37">BK3-BL3-BN3-BO3</f>
        <v>6.3166666666666664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6.5833333333333366</v>
      </c>
      <c r="BQ3" s="5">
        <f t="shared" ref="BQ3:BQ66" si="41">IF(BP3&gt;$AY$1,1,IF(BP3&gt;=$AX$1,0.5,0))</f>
        <v>0.5</v>
      </c>
      <c r="BR3" s="5">
        <f t="shared" ref="BR3:BR66" si="42">BP3-BQ3-BS3-BT3</f>
        <v>3.9000000000000004</v>
      </c>
      <c r="BS3" s="5">
        <f t="shared" ref="BS3:BS66" si="43">IF(AND(N3&gt;$AV$1, M3&lt;$AW$1),(MIN(N3,$AW$1)-MAX(M3,$AV$1))*24,0)</f>
        <v>2.0000000000000009</v>
      </c>
      <c r="BT3" s="5">
        <f t="shared" ref="BT3:BT66" si="44">IF(N3&gt;$AW$1,(N3-MAX(M3,$AW$1))*24,0)</f>
        <v>0.18333333333333535</v>
      </c>
      <c r="BU3" s="5">
        <f t="shared" ref="BU3:BU66" si="45">IF(ISBLANK(P3),0,(Q3-P3)*24)</f>
        <v>6.4333333333333318</v>
      </c>
      <c r="BV3" s="5">
        <f t="shared" ref="BV3:BV66" si="46">IF(BU3&gt;$AY$1,1,IF(BU3&gt;=$AX$1,0.5,0))</f>
        <v>0.5</v>
      </c>
      <c r="BW3" s="5">
        <f t="shared" ref="BW3:BW66" si="47">BU3-BV3-BX3-BY3</f>
        <v>3.6999999999999984</v>
      </c>
      <c r="BX3" s="5">
        <f t="shared" ref="BX3:BX66" si="48">IF(AND(Q3&gt;$AV$1, P3&lt;$AW$1),(MIN(Q3,$AW$1)-MAX(P3,$AV$1))*24,0)</f>
        <v>2.0000000000000009</v>
      </c>
      <c r="BY3" s="5">
        <f t="shared" ref="BY3:BY66" si="49">IF(Q3&gt;$AW$1,(Q3-MAX(P3,$AW$1))*24,0)</f>
        <v>0.2333333333333325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13.200000000000001</v>
      </c>
      <c r="CF3" s="5">
        <f t="shared" ref="CF3:CF66" si="56">IF(CE3&gt;$AY$1,1,IF(CE3&gt;=$AX$1,0.5,0))</f>
        <v>1</v>
      </c>
      <c r="CG3" s="5">
        <f t="shared" ref="CG3:CG66" si="57">CE3-CF3-CH3-CI3</f>
        <v>9.9833333333333307</v>
      </c>
      <c r="CH3" s="5">
        <f t="shared" ref="CH3:CH66" si="58">IF(AND(W3&gt;$AV$1, V3&lt;$AW$1),(MIN(W3,$AW$1)-MAX(V3,$AV$1))*24,0)</f>
        <v>2.0000000000000009</v>
      </c>
      <c r="CI3" s="5">
        <f t="shared" ref="CI3:CI66" si="59">IF(W3&gt;$AW$1,(W3-MAX(V3,$AW$1))*24,0)</f>
        <v>0.21666666666666856</v>
      </c>
      <c r="CJ3" s="5"/>
      <c r="CK3" s="4">
        <f t="shared" si="8"/>
        <v>4</v>
      </c>
    </row>
    <row r="4" spans="1:89" ht="47" customHeight="1">
      <c r="A4" s="74" t="str">
        <f t="shared" si="0"/>
        <v/>
      </c>
      <c r="B4" s="73"/>
      <c r="C4" s="98"/>
      <c r="D4" s="75"/>
      <c r="E4" s="75"/>
      <c r="F4" s="92">
        <f t="shared" si="9"/>
        <v>0</v>
      </c>
      <c r="G4" s="75"/>
      <c r="H4" s="75"/>
      <c r="I4" s="92">
        <f t="shared" si="10"/>
        <v>0</v>
      </c>
      <c r="J4" s="75"/>
      <c r="K4" s="75"/>
      <c r="L4" s="92">
        <f t="shared" si="11"/>
        <v>0</v>
      </c>
      <c r="M4" s="75"/>
      <c r="N4" s="75"/>
      <c r="O4" s="92">
        <f t="shared" si="12"/>
        <v>0</v>
      </c>
      <c r="P4" s="75"/>
      <c r="Q4" s="75"/>
      <c r="R4" s="92">
        <f t="shared" si="13"/>
        <v>0</v>
      </c>
      <c r="S4" s="75"/>
      <c r="T4" s="75"/>
      <c r="U4" s="92">
        <f t="shared" si="14"/>
        <v>0</v>
      </c>
      <c r="V4" s="75"/>
      <c r="W4" s="75"/>
      <c r="X4" s="92">
        <f t="shared" si="15"/>
        <v>0</v>
      </c>
      <c r="Y4" s="92"/>
      <c r="Z4" s="92"/>
      <c r="AA4" s="92"/>
      <c r="AB4" s="96">
        <f t="shared" si="16"/>
        <v>0</v>
      </c>
      <c r="AC4" s="93"/>
      <c r="AD4" s="78"/>
      <c r="AE4" s="94">
        <f t="shared" si="17"/>
        <v>0</v>
      </c>
      <c r="AF4" s="78"/>
      <c r="AG4" s="94">
        <f t="shared" si="18"/>
        <v>0</v>
      </c>
      <c r="AH4" s="78"/>
      <c r="AI4" s="94">
        <f t="shared" si="19"/>
        <v>0</v>
      </c>
      <c r="AJ4" s="77"/>
      <c r="AK4" s="94">
        <f t="shared" si="20"/>
        <v>0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0</v>
      </c>
      <c r="AQ4" s="77"/>
      <c r="AR4" s="77"/>
      <c r="AS4" s="77"/>
      <c r="AT4" s="63">
        <f t="shared" si="24"/>
        <v>0</v>
      </c>
      <c r="AU4" s="78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0</v>
      </c>
    </row>
    <row r="5" spans="1:89" ht="47" customHeight="1">
      <c r="A5" s="74" t="str">
        <f t="shared" si="0"/>
        <v/>
      </c>
      <c r="B5" s="81"/>
      <c r="C5" s="86"/>
      <c r="D5" s="76"/>
      <c r="E5" s="75"/>
      <c r="F5" s="92">
        <f t="shared" si="9"/>
        <v>0</v>
      </c>
      <c r="G5" s="75"/>
      <c r="H5" s="76"/>
      <c r="I5" s="92">
        <f t="shared" si="10"/>
        <v>0</v>
      </c>
      <c r="J5" s="76"/>
      <c r="K5" s="76"/>
      <c r="L5" s="92">
        <f t="shared" si="11"/>
        <v>0</v>
      </c>
      <c r="M5" s="75"/>
      <c r="N5" s="75"/>
      <c r="O5" s="92">
        <f t="shared" si="12"/>
        <v>0</v>
      </c>
      <c r="P5" s="75"/>
      <c r="Q5" s="75"/>
      <c r="R5" s="92">
        <f t="shared" si="13"/>
        <v>0</v>
      </c>
      <c r="S5" s="76"/>
      <c r="T5" s="75"/>
      <c r="U5" s="92">
        <f t="shared" si="14"/>
        <v>0</v>
      </c>
      <c r="V5" s="75"/>
      <c r="W5" s="76"/>
      <c r="X5" s="92">
        <f t="shared" si="15"/>
        <v>0</v>
      </c>
      <c r="Y5" s="92"/>
      <c r="Z5" s="92"/>
      <c r="AA5" s="92"/>
      <c r="AB5" s="96">
        <f t="shared" si="16"/>
        <v>0</v>
      </c>
      <c r="AC5" s="93"/>
      <c r="AD5" s="78"/>
      <c r="AE5" s="94">
        <f t="shared" si="17"/>
        <v>0</v>
      </c>
      <c r="AF5" s="78"/>
      <c r="AG5" s="94">
        <f t="shared" si="18"/>
        <v>0</v>
      </c>
      <c r="AH5" s="78"/>
      <c r="AI5" s="94">
        <f t="shared" si="19"/>
        <v>0</v>
      </c>
      <c r="AJ5" s="77"/>
      <c r="AK5" s="94">
        <f t="shared" si="20"/>
        <v>0</v>
      </c>
      <c r="AL5" s="78"/>
      <c r="AM5" s="94">
        <f t="shared" si="21"/>
        <v>0</v>
      </c>
      <c r="AN5" s="77"/>
      <c r="AO5" s="94">
        <f t="shared" si="22"/>
        <v>0</v>
      </c>
      <c r="AP5" s="95">
        <f t="shared" si="23"/>
        <v>0</v>
      </c>
      <c r="AQ5" s="77"/>
      <c r="AR5" s="77"/>
      <c r="AS5" s="77"/>
      <c r="AT5" s="63">
        <f t="shared" si="24"/>
        <v>0</v>
      </c>
      <c r="AU5" s="78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 t="str">
        <f t="shared" si="0"/>
        <v/>
      </c>
      <c r="B6" s="81"/>
      <c r="C6" s="86"/>
      <c r="D6" s="76"/>
      <c r="E6" s="75"/>
      <c r="F6" s="92">
        <f t="shared" si="9"/>
        <v>0</v>
      </c>
      <c r="G6" s="75"/>
      <c r="H6" s="76"/>
      <c r="I6" s="92">
        <f t="shared" si="10"/>
        <v>0</v>
      </c>
      <c r="J6" s="76"/>
      <c r="K6" s="76"/>
      <c r="L6" s="92">
        <f t="shared" si="11"/>
        <v>0</v>
      </c>
      <c r="M6" s="76"/>
      <c r="N6" s="76"/>
      <c r="O6" s="92">
        <f t="shared" si="12"/>
        <v>0</v>
      </c>
      <c r="P6" s="76"/>
      <c r="Q6" s="75"/>
      <c r="R6" s="92">
        <f t="shared" si="13"/>
        <v>0</v>
      </c>
      <c r="S6" s="75"/>
      <c r="T6" s="75"/>
      <c r="U6" s="92">
        <f t="shared" si="14"/>
        <v>0</v>
      </c>
      <c r="V6" s="75"/>
      <c r="W6" s="76"/>
      <c r="X6" s="92">
        <f t="shared" si="15"/>
        <v>0</v>
      </c>
      <c r="Y6" s="92"/>
      <c r="Z6" s="92"/>
      <c r="AA6" s="92"/>
      <c r="AB6" s="96">
        <f t="shared" si="16"/>
        <v>0</v>
      </c>
      <c r="AC6" s="93"/>
      <c r="AD6" s="78"/>
      <c r="AE6" s="94">
        <f t="shared" si="17"/>
        <v>0</v>
      </c>
      <c r="AF6" s="78"/>
      <c r="AG6" s="94">
        <f t="shared" si="18"/>
        <v>0</v>
      </c>
      <c r="AH6" s="78"/>
      <c r="AI6" s="94">
        <f t="shared" si="19"/>
        <v>0</v>
      </c>
      <c r="AJ6" s="77"/>
      <c r="AK6" s="94">
        <f t="shared" si="20"/>
        <v>0</v>
      </c>
      <c r="AL6" s="78"/>
      <c r="AM6" s="94">
        <f t="shared" si="21"/>
        <v>0</v>
      </c>
      <c r="AN6" s="77"/>
      <c r="AO6" s="94">
        <f t="shared" si="22"/>
        <v>0</v>
      </c>
      <c r="AP6" s="95">
        <f t="shared" si="23"/>
        <v>0</v>
      </c>
      <c r="AQ6" s="77"/>
      <c r="AR6" s="77"/>
      <c r="AS6" s="77"/>
      <c r="AT6" s="63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0</v>
      </c>
    </row>
    <row r="7" spans="1:89" ht="47" customHeight="1">
      <c r="A7" s="74" t="str">
        <f t="shared" si="0"/>
        <v/>
      </c>
      <c r="B7" s="81"/>
      <c r="C7" s="86"/>
      <c r="D7" s="76"/>
      <c r="E7" s="76"/>
      <c r="F7" s="92">
        <f t="shared" si="9"/>
        <v>0</v>
      </c>
      <c r="G7" s="76"/>
      <c r="H7" s="76"/>
      <c r="I7" s="92">
        <f t="shared" si="10"/>
        <v>0</v>
      </c>
      <c r="J7" s="76"/>
      <c r="K7" s="76"/>
      <c r="L7" s="92">
        <f t="shared" si="11"/>
        <v>0</v>
      </c>
      <c r="M7" s="76"/>
      <c r="N7" s="76"/>
      <c r="O7" s="92">
        <f t="shared" si="12"/>
        <v>0</v>
      </c>
      <c r="P7" s="76"/>
      <c r="Q7" s="75"/>
      <c r="R7" s="92">
        <f t="shared" si="13"/>
        <v>0</v>
      </c>
      <c r="S7" s="76"/>
      <c r="T7" s="75"/>
      <c r="U7" s="92">
        <f t="shared" si="14"/>
        <v>0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0</v>
      </c>
      <c r="AC7" s="93"/>
      <c r="AD7" s="78"/>
      <c r="AE7" s="94">
        <f t="shared" si="17"/>
        <v>0</v>
      </c>
      <c r="AF7" s="77"/>
      <c r="AG7" s="94">
        <f t="shared" si="18"/>
        <v>0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0</v>
      </c>
      <c r="AQ7" s="77"/>
      <c r="AR7" s="77"/>
      <c r="AS7" s="77"/>
      <c r="AT7" s="63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4" t="str">
        <f t="shared" si="0"/>
        <v/>
      </c>
      <c r="B8" s="81"/>
      <c r="C8" s="86"/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/>
      <c r="Q8" s="76"/>
      <c r="R8" s="92">
        <f t="shared" si="13"/>
        <v>0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0</v>
      </c>
      <c r="AC8" s="93"/>
      <c r="AD8" s="78"/>
      <c r="AE8" s="94">
        <f t="shared" si="17"/>
        <v>0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86"/>
      <c r="D9" s="76"/>
      <c r="E9" s="75"/>
      <c r="F9" s="92">
        <f t="shared" si="9"/>
        <v>0</v>
      </c>
      <c r="G9" s="75"/>
      <c r="H9" s="76"/>
      <c r="I9" s="92">
        <f t="shared" si="10"/>
        <v>0</v>
      </c>
      <c r="J9" s="76"/>
      <c r="K9" s="76"/>
      <c r="L9" s="92">
        <f t="shared" si="11"/>
        <v>0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8"/>
      <c r="AE9" s="94">
        <f t="shared" si="17"/>
        <v>0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6"/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6"/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0</v>
      </c>
      <c r="AC11" s="93"/>
      <c r="AD11" s="78"/>
      <c r="AE11" s="94">
        <f t="shared" si="17"/>
        <v>0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6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6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6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7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7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topLeftCell="I1" zoomScale="120" zoomScaleNormal="120" workbookViewId="0">
      <selection activeCell="AI1" sqref="AI1:AI1048576"/>
    </sheetView>
  </sheetViews>
  <sheetFormatPr baseColWidth="10" defaultColWidth="10.83203125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10299</v>
      </c>
      <c r="B2" s="28">
        <f ca="1">IF(A2=0,"",_xlfn.NUMBERVALUE(A2))</f>
        <v>10299</v>
      </c>
      <c r="C2" s="28" t="str">
        <f ca="1">IF($A2=0,"",VLOOKUP($B2,Employees!$A:$G,2,FALSE))</f>
        <v>YUTANG</v>
      </c>
      <c r="D2" s="28" t="str">
        <f ca="1">IF($A2=0,"",VLOOKUP($B2,Employees!$A:$G,3,FALSE))</f>
        <v>HUANG</v>
      </c>
      <c r="E2" s="26">
        <f ca="1">IF($A2=0,"",VLOOKUP($B2,Employees!$A:$G,5,FALSE))</f>
        <v>33976</v>
      </c>
      <c r="F2" s="13">
        <f ca="1">IF($E2="","",ROUNDDOWN(YEARFRAC($E2, 'Week 1 Roster'!$D$1-1, 1), 0))</f>
        <v>32</v>
      </c>
      <c r="G2" s="13">
        <f ca="1">IF($E2="","",ROUNDDOWN(YEARFRAC($E2, 'Week 1 Roster'!$D$1+14, 1), 0))</f>
        <v>32</v>
      </c>
      <c r="H2" s="13" t="b">
        <f ca="1">IF($E2="","",IF(AND(F2&lt;21,F2&lt;&gt;G2),TRUE,FALSE))</f>
        <v>0</v>
      </c>
      <c r="I2" s="13">
        <f ca="1">IF($A2=0,"",VLOOKUP($B2,Employees!$A:$G,6,FALSE))</f>
        <v>200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Waterloo</v>
      </c>
      <c r="L2" s="13" t="str">
        <f ca="1">IF($A2=0,"",VLOOKUP(K2,Stores!A:B,2,0))</f>
        <v>Winlada</v>
      </c>
      <c r="M2" s="14">
        <f t="shared" ref="M2" ca="1" si="0">Y2+AK2</f>
        <v>77.683333333333337</v>
      </c>
      <c r="N2" s="14">
        <f t="shared" ref="N2" ca="1" si="1">Z2+AL2</f>
        <v>25.866666666666667</v>
      </c>
      <c r="O2" s="14">
        <f t="shared" ref="O2" ca="1" si="2">AA2+AM2</f>
        <v>0.93333333333333002</v>
      </c>
      <c r="P2" s="14">
        <f t="shared" ref="P2" ca="1" si="3">AB2+AN2</f>
        <v>0</v>
      </c>
      <c r="Q2" s="14">
        <f t="shared" ref="Q2" ca="1" si="4">AC2+AO2</f>
        <v>8.0000000000000036</v>
      </c>
      <c r="R2" s="14">
        <f t="shared" ref="R2:S2" ca="1" si="5">AD2+AP2</f>
        <v>1.216666666666665</v>
      </c>
      <c r="S2" s="28">
        <f t="shared" ca="1" si="5"/>
        <v>11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113.70000000000002</v>
      </c>
      <c r="Y2" s="17">
        <f ca="1">IF($A2=0,0,SUMIF('Week 1 Roster'!$AZ:$AZ,$B2,'Week 1 Roster'!$AE:$AE))</f>
        <v>37.383333333333333</v>
      </c>
      <c r="Z2" s="17">
        <f ca="1">IF($A2=0,0,SUMIF('Week 1 Roster'!$AZ:$AZ,$B2,'Week 1 Roster'!$AG:$AG))</f>
        <v>13.299999999999997</v>
      </c>
      <c r="AA2" s="17">
        <f ca="1">IF($A2=0,0,SUMIF('Week 1 Roster'!$AZ:$AZ,$B2,'Week 1 Roster'!$AI:$AI))</f>
        <v>0.43333333333333179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2.0000000000000009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5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53.11666666666666</v>
      </c>
      <c r="AK2" s="17">
        <f ca="1">IF($A2=0,0,SUMIF('Week 2 Roster'!$AZ:$AZ,$B2,'Week 2 Roster'!$AE:$AE))</f>
        <v>40.299999999999997</v>
      </c>
      <c r="AL2" s="17">
        <f ca="1">IF($A2=0,0,SUMIF('Week 2 Roster'!$AZ:$AZ,$B2,'Week 2 Roster'!$AG:$AG))</f>
        <v>12.56666666666667</v>
      </c>
      <c r="AM2" s="17">
        <f ca="1">IF($A2=0,0,SUMIF('Week 2 Roster'!$AZ:$AZ,$B2,'Week 2 Roster'!$AI:$AI))</f>
        <v>0.49999999999999822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6.0000000000000027</v>
      </c>
      <c r="AP2" s="17">
        <f ca="1">IF($A2=0,0,SUMIF('Week 2 Roster'!$AZ:$AZ,$B2,'Week 2 Roster'!$AO:$AO))</f>
        <v>1.216666666666665</v>
      </c>
      <c r="AQ2" s="38">
        <f ca="1">IF($A2=0,0,SUMIF('Week 2 Roster'!$AZ:$AZ,$B2,'Week 2 Roster'!$AP:$AP))</f>
        <v>6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60.583333333333329</v>
      </c>
      <c r="AV2" s="17"/>
      <c r="AW2" s="25">
        <f>'Week 1 Roster'!A2</f>
        <v>10299</v>
      </c>
      <c r="AX2" s="25">
        <f>'Week 2 Roster'!A2</f>
        <v>10299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10052</v>
      </c>
      <c r="B3" s="28">
        <f t="shared" ref="B3:B66" ca="1" si="9">IF(A3=0,"",_xlfn.NUMBERVALUE(A3))</f>
        <v>10052</v>
      </c>
      <c r="C3" s="28" t="str">
        <f ca="1">IF($A3=0,"",VLOOKUP($B3,Employees!$A:$G,2,FALSE))</f>
        <v>Yeyu</v>
      </c>
      <c r="D3" s="28" t="str">
        <f ca="1">IF($A3=0,"",VLOOKUP($B3,Employees!$A:$G,3,FALSE))</f>
        <v>Deng</v>
      </c>
      <c r="E3" s="26">
        <f ca="1">IF($A3=0,"",VLOOKUP($B3,Employees!$A:$G,5,FALSE))</f>
        <v>35308</v>
      </c>
      <c r="F3" s="13">
        <f ca="1">IF($E3="","",ROUNDDOWN(YEARFRAC($E3, 'Week 1 Roster'!$D$1-1, 1), 0))</f>
        <v>29</v>
      </c>
      <c r="G3" s="13">
        <f ca="1">IF($E3="","",ROUNDDOWN(YEARFRAC($E3, 'Week 1 Roster'!$D$1+14, 1), 0))</f>
        <v>29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GCM</v>
      </c>
      <c r="K3" s="13" t="str">
        <f ca="1">IF($A3=0,"",IF(ISNA(VLOOKUP(A3,'Week 1 Roster'!A:C,2,0)),VLOOKUP(A3,'Week 2 Roster'!A:C,2,0),VLOOKUP(A3,'Week 1 Roster'!A:C,2,0)))</f>
        <v>Waterloo</v>
      </c>
      <c r="L3" s="13" t="str">
        <f ca="1">IF($A3=0,"",VLOOKUP(K3,Stores!A:B,2,0))</f>
        <v>Winlada</v>
      </c>
      <c r="M3" s="14">
        <f t="shared" ref="M3:M66" ca="1" si="11">Y3+AK3</f>
        <v>32.333333333333329</v>
      </c>
      <c r="N3" s="14">
        <f t="shared" ref="N3:N66" ca="1" si="12">Z3+AL3</f>
        <v>0.2333333333333325</v>
      </c>
      <c r="O3" s="14">
        <f t="shared" ref="O3:O66" ca="1" si="13">AA3+AM3</f>
        <v>25.916666666666664</v>
      </c>
      <c r="P3" s="14">
        <f t="shared" ref="P3:P66" ca="1" si="14">AB3+AN3</f>
        <v>0</v>
      </c>
      <c r="Q3" s="14">
        <f t="shared" ref="Q3:Q66" ca="1" si="15">AC3+AO3</f>
        <v>12.000000000000005</v>
      </c>
      <c r="R3" s="14">
        <f t="shared" ref="R3:R66" ca="1" si="16">AD3+AP3</f>
        <v>1.8333333333333375</v>
      </c>
      <c r="S3" s="28">
        <f t="shared" ref="S3:S66" ca="1" si="17">AE3+AQ3</f>
        <v>9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72.316666666666677</v>
      </c>
      <c r="Y3" s="17">
        <f ca="1">IF($A3=0,0,SUMIF('Week 1 Roster'!$AZ:$AZ,$B3,'Week 1 Roster'!$AE:$AE))</f>
        <v>16.916666666666664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12.933333333333334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8.0000000000000036</v>
      </c>
      <c r="AD3" s="17">
        <f ca="1">IF($A3=0,0,SUMIF('Week 1 Roster'!$AZ:$AZ,$B3,'Week 1 Roster'!$AO:$AO))</f>
        <v>1.4333333333333336</v>
      </c>
      <c r="AE3" s="38">
        <f ca="1">IF($A3=0,0,SUMIF('Week 1 Roster'!$AZ:$AZ,$B3,'Week 1 Roster'!$AP:$AP))</f>
        <v>5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39.283333333333331</v>
      </c>
      <c r="AK3" s="17">
        <f ca="1">IF($A3=0,0,SUMIF('Week 2 Roster'!$AZ:$AZ,$B3,'Week 2 Roster'!$AE:$AE))</f>
        <v>15.416666666666664</v>
      </c>
      <c r="AL3" s="17">
        <f ca="1">IF($A3=0,0,SUMIF('Week 2 Roster'!$AZ:$AZ,$B3,'Week 2 Roster'!$AG:$AG))</f>
        <v>0.2333333333333325</v>
      </c>
      <c r="AM3" s="17">
        <f ca="1">IF($A3=0,0,SUMIF('Week 2 Roster'!$AZ:$AZ,$B3,'Week 2 Roster'!$AI:$AI))</f>
        <v>12.983333333333331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4.0000000000000018</v>
      </c>
      <c r="AP3" s="17">
        <f ca="1">IF($A3=0,0,SUMIF('Week 2 Roster'!$AZ:$AZ,$B3,'Week 2 Roster'!$AO:$AO))</f>
        <v>0.40000000000000391</v>
      </c>
      <c r="AQ3" s="38">
        <f ca="1">IF($A3=0,0,SUMIF('Week 2 Roster'!$AZ:$AZ,$B3,'Week 2 Roster'!$AP:$AP))</f>
        <v>4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33.033333333333331</v>
      </c>
      <c r="AV3" s="17"/>
      <c r="AW3" s="25">
        <f>'Week 1 Roster'!A3</f>
        <v>10052</v>
      </c>
      <c r="AX3" s="25">
        <f>'Week 2 Roster'!A3</f>
        <v>10052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0</v>
      </c>
      <c r="B4" s="28" t="str">
        <f t="shared" ca="1" si="9"/>
        <v/>
      </c>
      <c r="C4" s="28" t="str">
        <f ca="1">IF($A4=0,"",VLOOKUP($B4,Employees!$A:$G,2,FALSE))</f>
        <v/>
      </c>
      <c r="D4" s="28" t="str">
        <f ca="1">IF($A4=0,"",VLOOKUP($B4,Employees!$A:$G,3,FALSE))</f>
        <v/>
      </c>
      <c r="E4" s="26" t="str">
        <f ca="1">IF($A4=0,"",VLOOKUP($B4,Employees!$A:$G,5,FALSE))</f>
        <v/>
      </c>
      <c r="F4" s="13" t="str">
        <f ca="1">IF($E4="","",ROUNDDOWN(YEARFRAC($E4, 'Week 1 Roster'!$D$1-1, 1), 0))</f>
        <v/>
      </c>
      <c r="G4" s="13" t="str">
        <f ca="1">IF($E4="","",ROUNDDOWN(YEARFRAC($E4, 'Week 1 Roster'!$D$1+14, 1), 0))</f>
        <v/>
      </c>
      <c r="H4" s="13" t="str">
        <f t="shared" ca="1" si="10"/>
        <v/>
      </c>
      <c r="I4" s="13" t="str">
        <f ca="1">IF($A4=0,"",VLOOKUP($B4,Employees!$A:$G,6,FALSE))</f>
        <v/>
      </c>
      <c r="J4" s="13" t="str">
        <f ca="1">IF($A4=0,"",VLOOKUP($B4,Employees!$A:$G,7,FALSE))</f>
        <v/>
      </c>
      <c r="K4" s="13" t="str">
        <f ca="1">IF($A4=0,"",IF(ISNA(VLOOKUP(A4,'Week 1 Roster'!A:C,2,0)),VLOOKUP(A4,'Week 2 Roster'!A:C,2,0),VLOOKUP(A4,'Week 1 Roster'!A:C,2,0)))</f>
        <v/>
      </c>
      <c r="L4" s="13" t="str">
        <f ca="1">IF($A4=0,"",VLOOKUP(K4,Stores!A:B,2,0))</f>
        <v/>
      </c>
      <c r="M4" s="14">
        <f t="shared" ca="1" si="11"/>
        <v>0</v>
      </c>
      <c r="N4" s="14">
        <f t="shared" ca="1" si="12"/>
        <v>0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0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0</v>
      </c>
      <c r="Y4" s="17">
        <f ca="1">IF($A4=0,0,SUMIF('Week 1 Roster'!$AZ:$AZ,$B4,'Week 1 Roster'!$AE:$AE))</f>
        <v>0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0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0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0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0</v>
      </c>
      <c r="AV4" s="17"/>
      <c r="AW4" s="25" t="str">
        <f>'Week 1 Roster'!A4</f>
        <v/>
      </c>
      <c r="AX4" s="25" t="str">
        <f>'Week 2 Roster'!A4</f>
        <v/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0</v>
      </c>
      <c r="B5" s="28" t="str">
        <f t="shared" ca="1" si="9"/>
        <v/>
      </c>
      <c r="C5" s="28" t="str">
        <f ca="1">IF($A5=0,"",VLOOKUP($B5,Employees!$A:$G,2,FALSE))</f>
        <v/>
      </c>
      <c r="D5" s="28" t="str">
        <f ca="1">IF($A5=0,"",VLOOKUP($B5,Employees!$A:$G,3,FALSE))</f>
        <v/>
      </c>
      <c r="E5" s="26" t="str">
        <f ca="1">IF($A5=0,"",VLOOKUP($B5,Employees!$A:$G,5,FALSE))</f>
        <v/>
      </c>
      <c r="F5" s="13" t="str">
        <f ca="1">IF($E5="","",ROUNDDOWN(YEARFRAC($E5, 'Week 1 Roster'!$D$1-1, 1), 0))</f>
        <v/>
      </c>
      <c r="G5" s="13" t="str">
        <f ca="1">IF($E5="","",ROUNDDOWN(YEARFRAC($E5, 'Week 1 Roster'!$D$1+14, 1), 0))</f>
        <v/>
      </c>
      <c r="H5" s="13" t="str">
        <f t="shared" ca="1" si="10"/>
        <v/>
      </c>
      <c r="I5" s="13" t="str">
        <f ca="1">IF($A5=0,"",VLOOKUP($B5,Employees!$A:$G,6,FALSE))</f>
        <v/>
      </c>
      <c r="J5" s="13" t="str">
        <f ca="1">IF($A5=0,"",VLOOKUP($B5,Employees!$A:$G,7,FALSE))</f>
        <v/>
      </c>
      <c r="K5" s="13" t="str">
        <f ca="1">IF($A5=0,"",IF(ISNA(VLOOKUP(A5,'Week 1 Roster'!A:C,2,0)),VLOOKUP(A5,'Week 2 Roster'!A:C,2,0),VLOOKUP(A5,'Week 1 Roster'!A:C,2,0)))</f>
        <v/>
      </c>
      <c r="L5" s="13" t="str">
        <f ca="1">IF($A5=0,"",VLOOKUP(K5,Stores!A:B,2,0))</f>
        <v/>
      </c>
      <c r="M5" s="14">
        <f t="shared" ca="1" si="11"/>
        <v>0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0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0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0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0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0</v>
      </c>
      <c r="AV5" s="17"/>
      <c r="AW5" s="25" t="str">
        <f>'Week 1 Roster'!A5</f>
        <v/>
      </c>
      <c r="AX5" s="25" t="str">
        <f>'Week 2 Roster'!A5</f>
        <v/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0</v>
      </c>
      <c r="B6" s="28" t="str">
        <f t="shared" ca="1" si="9"/>
        <v/>
      </c>
      <c r="C6" s="28" t="str">
        <f ca="1">IF($A6=0,"",VLOOKUP($B6,Employees!$A:$G,2,FALSE))</f>
        <v/>
      </c>
      <c r="D6" s="28" t="str">
        <f ca="1">IF($A6=0,"",VLOOKUP($B6,Employees!$A:$G,3,FALSE))</f>
        <v/>
      </c>
      <c r="E6" s="26" t="str">
        <f ca="1">IF($A6=0,"",VLOOKUP($B6,Employees!$A:$G,5,FALSE))</f>
        <v/>
      </c>
      <c r="F6" s="13" t="str">
        <f ca="1">IF($E6="","",ROUNDDOWN(YEARFRAC($E6, 'Week 1 Roster'!$D$1-1, 1), 0))</f>
        <v/>
      </c>
      <c r="G6" s="13" t="str">
        <f ca="1">IF($E6="","",ROUNDDOWN(YEARFRAC($E6, 'Week 1 Roster'!$D$1+14, 1), 0))</f>
        <v/>
      </c>
      <c r="H6" s="13" t="str">
        <f t="shared" ca="1" si="10"/>
        <v/>
      </c>
      <c r="I6" s="13" t="str">
        <f ca="1">IF($A6=0,"",VLOOKUP($B6,Employees!$A:$G,6,FALSE))</f>
        <v/>
      </c>
      <c r="J6" s="13" t="str">
        <f ca="1">IF($A6=0,"",VLOOKUP($B6,Employees!$A:$G,7,FALSE))</f>
        <v/>
      </c>
      <c r="K6" s="13" t="str">
        <f ca="1">IF($A6=0,"",IF(ISNA(VLOOKUP(A6,'Week 1 Roster'!A:C,2,0)),VLOOKUP(A6,'Week 2 Roster'!A:C,2,0),VLOOKUP(A6,'Week 1 Roster'!A:C,2,0)))</f>
        <v/>
      </c>
      <c r="L6" s="13" t="str">
        <f ca="1">IF($A6=0,"",VLOOKUP(K6,Stores!A:B,2,0))</f>
        <v/>
      </c>
      <c r="M6" s="14">
        <f t="shared" ca="1" si="11"/>
        <v>0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0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0</v>
      </c>
      <c r="Y6" s="17">
        <f ca="1">IF($A6=0,0,SUMIF('Week 1 Roster'!$AZ:$AZ,$B6,'Week 1 Roster'!$AE:$AE))</f>
        <v>0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0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0</v>
      </c>
      <c r="AK6" s="17">
        <f ca="1">IF($A6=0,0,SUMIF('Week 2 Roster'!$AZ:$AZ,$B6,'Week 2 Roster'!$AE:$AE))</f>
        <v>0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0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0</v>
      </c>
      <c r="AV6" s="17"/>
      <c r="AW6" s="25" t="str">
        <f>'Week 1 Roster'!A6</f>
        <v/>
      </c>
      <c r="AX6" s="25" t="str">
        <f>'Week 2 Roster'!A6</f>
        <v/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0</v>
      </c>
      <c r="B7" s="28" t="str">
        <f t="shared" ca="1" si="9"/>
        <v/>
      </c>
      <c r="C7" s="28" t="str">
        <f ca="1">IF($A7=0,"",VLOOKUP($B7,Employees!$A:$G,2,FALSE))</f>
        <v/>
      </c>
      <c r="D7" s="28" t="str">
        <f ca="1">IF($A7=0,"",VLOOKUP($B7,Employees!$A:$G,3,FALSE))</f>
        <v/>
      </c>
      <c r="E7" s="26" t="str">
        <f ca="1">IF($A7=0,"",VLOOKUP($B7,Employees!$A:$G,5,FALSE))</f>
        <v/>
      </c>
      <c r="F7" s="13" t="str">
        <f ca="1">IF($E7="","",ROUNDDOWN(YEARFRAC($E7, 'Week 1 Roster'!$D$1-1, 1), 0))</f>
        <v/>
      </c>
      <c r="G7" s="13" t="str">
        <f ca="1">IF($E7="","",ROUNDDOWN(YEARFRAC($E7, 'Week 1 Roster'!$D$1+14, 1), 0))</f>
        <v/>
      </c>
      <c r="H7" s="13" t="str">
        <f t="shared" ca="1" si="10"/>
        <v/>
      </c>
      <c r="I7" s="13" t="str">
        <f ca="1">IF($A7=0,"",VLOOKUP($B7,Employees!$A:$G,6,FALSE))</f>
        <v/>
      </c>
      <c r="J7" s="13" t="str">
        <f ca="1">IF($A7=0,"",VLOOKUP($B7,Employees!$A:$G,7,FALSE))</f>
        <v/>
      </c>
      <c r="K7" s="13" t="str">
        <f ca="1">IF($A7=0,"",IF(ISNA(VLOOKUP(A7,'Week 1 Roster'!A:C,2,0)),VLOOKUP(A7,'Week 2 Roster'!A:C,2,0),VLOOKUP(A7,'Week 1 Roster'!A:C,2,0)))</f>
        <v/>
      </c>
      <c r="L7" s="13" t="str">
        <f ca="1">IF($A7=0,"",VLOOKUP(K7,Stores!A:B,2,0))</f>
        <v/>
      </c>
      <c r="M7" s="14">
        <f t="shared" ca="1" si="11"/>
        <v>0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0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0</v>
      </c>
      <c r="Y7" s="17">
        <f ca="1">IF($A7=0,0,SUMIF('Week 1 Roster'!$AZ:$AZ,$B7,'Week 1 Roster'!$AE:$AE))</f>
        <v>0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0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0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 t="str">
        <f>'Week 1 Roster'!A7</f>
        <v/>
      </c>
      <c r="AX7" s="25" t="str">
        <f>'Week 2 Roster'!A7</f>
        <v/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0</v>
      </c>
      <c r="B8" s="28" t="str">
        <f t="shared" ca="1" si="9"/>
        <v/>
      </c>
      <c r="C8" s="28" t="str">
        <f ca="1">IF($A8=0,"",VLOOKUP($B8,Employees!$A:$G,2,FALSE))</f>
        <v/>
      </c>
      <c r="D8" s="28" t="str">
        <f ca="1">IF($A8=0,"",VLOOKUP($B8,Employees!$A:$G,3,FALSE))</f>
        <v/>
      </c>
      <c r="E8" s="26" t="str">
        <f ca="1">IF($A8=0,"",VLOOKUP($B8,Employees!$A:$G,5,FALSE))</f>
        <v/>
      </c>
      <c r="F8" s="13" t="str">
        <f ca="1">IF($E8="","",ROUNDDOWN(YEARFRAC($E8, 'Week 1 Roster'!$D$1-1, 1), 0))</f>
        <v/>
      </c>
      <c r="G8" s="13" t="str">
        <f ca="1">IF($E8="","",ROUNDDOWN(YEARFRAC($E8, 'Week 1 Roster'!$D$1+14, 1), 0))</f>
        <v/>
      </c>
      <c r="H8" s="13" t="str">
        <f t="shared" ca="1" si="10"/>
        <v/>
      </c>
      <c r="I8" s="13" t="str">
        <f ca="1">IF($A8=0,"",VLOOKUP($B8,Employees!$A:$G,6,FALSE))</f>
        <v/>
      </c>
      <c r="J8" s="13" t="str">
        <f ca="1">IF($A8=0,"",VLOOKUP($B8,Employees!$A:$G,7,FALSE))</f>
        <v/>
      </c>
      <c r="K8" s="13" t="str">
        <f ca="1">IF($A8=0,"",IF(ISNA(VLOOKUP(A8,'Week 1 Roster'!A:C,2,0)),VLOOKUP(A8,'Week 2 Roster'!A:C,2,0),VLOOKUP(A8,'Week 1 Roster'!A:C,2,0)))</f>
        <v/>
      </c>
      <c r="L8" s="13" t="str">
        <f ca="1">IF($A8=0,"",VLOOKUP(K8,Stores!A:B,2,0))</f>
        <v/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 t="str">
        <f>'Week 1 Roster'!A8</f>
        <v/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03" zoomScale="186" zoomScaleNormal="186" workbookViewId="0">
      <selection activeCell="C522" sqref="C522"/>
    </sheetView>
  </sheetViews>
  <sheetFormatPr baseColWidth="10" defaultColWidth="10.83203125" defaultRowHeight="13"/>
  <cols>
    <col min="1" max="1" width="11" customWidth="1"/>
    <col min="2" max="2" width="17.1640625" bestFit="1" customWidth="1"/>
    <col min="3" max="3" width="16.1640625" customWidth="1"/>
    <col min="4" max="4" width="22.83203125" customWidth="1"/>
    <col min="5" max="5" width="1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210491</v>
      </c>
      <c r="B492" s="67" t="s">
        <v>1342</v>
      </c>
      <c r="C492" s="67" t="s">
        <v>1341</v>
      </c>
      <c r="D492" s="67" t="s">
        <v>1343</v>
      </c>
      <c r="E492" s="1"/>
      <c r="F492" s="32">
        <v>76</v>
      </c>
      <c r="G492" s="39" t="s">
        <v>871</v>
      </c>
      <c r="H492" s="39"/>
      <c r="I492" s="12">
        <f t="shared" si="8"/>
        <v>210491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48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/>
      <c r="B515" s="2"/>
      <c r="C515" s="2"/>
      <c r="D515" s="2"/>
      <c r="E515" s="1"/>
      <c r="G515" s="39"/>
      <c r="I515" s="12">
        <f t="shared" si="9"/>
        <v>0</v>
      </c>
    </row>
    <row r="516" spans="1:9">
      <c r="I516" s="12">
        <f t="shared" si="9"/>
        <v>0</v>
      </c>
    </row>
    <row r="517" spans="1:9">
      <c r="I517" s="12">
        <f t="shared" si="9"/>
        <v>0</v>
      </c>
    </row>
    <row r="518" spans="1:9">
      <c r="I518" s="12">
        <f t="shared" si="9"/>
        <v>0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algorithmName="SHA-512" hashValue="fCWOh3EEH/jaBVeAgBxVk5lQ71Aedn5rEbxoLMAbPFgrbJoC4S64sGL1r1+qxMd9T3an/ldITF8wSMf/wZliBA==" saltValue="EeMdznbBQmI6mvMzVSVInw==" spinCount="100000" sheet="1"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1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ColWidth="11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2025-11-10T02:06:34Z</dcterms:modified>
</cp:coreProperties>
</file>