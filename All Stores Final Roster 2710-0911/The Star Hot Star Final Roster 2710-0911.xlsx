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AC3B5D75-4F94-5745-B397-50B581C7F00A}" xr6:coauthVersionLast="47" xr6:coauthVersionMax="47" xr10:uidLastSave="{00000000-0000-0000-0000-000000000000}"/>
  <bookViews>
    <workbookView xWindow="0" yWindow="740" windowWidth="29100" windowHeight="1724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Z13" i="2"/>
  <c r="A13" i="2" s="1"/>
  <c r="AW13" i="12" s="1"/>
  <c r="AZ12" i="2"/>
  <c r="AZ11" i="2"/>
  <c r="AZ10" i="2"/>
  <c r="AZ9" i="2"/>
  <c r="AZ8" i="2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4" i="2"/>
  <c r="AW14" i="12" s="1"/>
  <c r="A12" i="2"/>
  <c r="AW12" i="12" s="1"/>
  <c r="A11" i="2"/>
  <c r="AW11" i="12" s="1"/>
  <c r="A10" i="2"/>
  <c r="AW10" i="12" s="1"/>
  <c r="A9" i="2"/>
  <c r="AW9" i="12" s="1"/>
  <c r="A8" i="2"/>
  <c r="AW8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CG10" i="18" l="1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O6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X11" i="2" l="1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 a="1"/>
  <c r="A3" i="12" l="1"/>
  <c r="B3" i="12" s="1"/>
  <c r="U2" i="12"/>
  <c r="T2" i="12"/>
  <c r="S2" i="12"/>
  <c r="BY1" i="2"/>
  <c r="V2" i="12"/>
  <c r="G2" i="12"/>
  <c r="H2" i="12" s="1"/>
  <c r="E1" i="18"/>
  <c r="G1" i="18"/>
  <c r="F1" i="18"/>
  <c r="BC1" i="18" s="1"/>
  <c r="CH1" i="2"/>
  <c r="CD1" i="2"/>
  <c r="AA1" i="2"/>
  <c r="CJ1" i="2" s="1"/>
  <c r="CI1" i="2" s="1"/>
  <c r="Z1" i="2"/>
  <c r="K3" i="12" l="1"/>
  <c r="L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D3" i="12" s="1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Z3" i="12"/>
  <c r="AG3" i="12"/>
  <c r="AH3" i="12"/>
  <c r="AS3" i="12"/>
  <c r="A4" i="12" a="1"/>
  <c r="AA3" i="12" l="1"/>
  <c r="AC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H8" i="12"/>
  <c r="J8" i="12"/>
  <c r="AC8" i="12"/>
  <c r="AQ8" i="12"/>
  <c r="A9" i="12" a="1"/>
  <c r="AE8" i="12" l="1"/>
  <c r="S8" i="12" s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V8" i="12" s="1"/>
  <c r="Z8" i="12"/>
  <c r="A9" i="12"/>
  <c r="B9" i="12" s="1"/>
  <c r="N8" i="12" l="1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A10" i="12"/>
  <c r="K10" i="12" s="1"/>
  <c r="L10" i="12" s="1"/>
  <c r="Q9" i="12"/>
  <c r="N9" i="12"/>
  <c r="H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K10" i="12"/>
  <c r="AO10" i="12"/>
  <c r="AE10" i="12"/>
  <c r="AA10" i="12"/>
  <c r="AH10" i="12"/>
  <c r="Z10" i="12"/>
  <c r="E10" i="12"/>
  <c r="AN10" i="12"/>
  <c r="AC10" i="12"/>
  <c r="AS10" i="12"/>
  <c r="AQ10" i="12"/>
  <c r="AR10" i="12"/>
  <c r="AF10" i="12"/>
  <c r="AD10" i="12"/>
  <c r="AG10" i="12"/>
  <c r="D10" i="12"/>
  <c r="AL10" i="12"/>
  <c r="C10" i="12"/>
  <c r="AT10" i="12"/>
  <c r="J10" i="12"/>
  <c r="Y10" i="12"/>
  <c r="I10" i="12"/>
  <c r="AB10" i="12"/>
  <c r="AM10" i="12"/>
  <c r="R10" i="12" l="1"/>
  <c r="M10" i="12"/>
  <c r="Q10" i="12"/>
  <c r="T10" i="12"/>
  <c r="V10" i="12"/>
  <c r="S10" i="12"/>
  <c r="O10" i="12"/>
  <c r="AI10" i="12"/>
  <c r="U10" i="12"/>
  <c r="P10" i="12"/>
  <c r="N10" i="12"/>
  <c r="F10" i="12"/>
  <c r="AU10" i="12"/>
  <c r="G10" i="12"/>
  <c r="W10" i="12" l="1"/>
  <c r="H10" i="12"/>
  <c r="A11" i="12" a="1"/>
  <c r="A11" i="12" l="1"/>
  <c r="K11" i="12" l="1"/>
  <c r="D11" i="12"/>
  <c r="I11" i="12"/>
  <c r="AQ11" i="12"/>
  <c r="AL11" i="12"/>
  <c r="B11" i="12"/>
  <c r="AC11" i="12"/>
  <c r="AK11" i="12"/>
  <c r="L11" i="12"/>
  <c r="AD11" i="12"/>
  <c r="AR11" i="12"/>
  <c r="AS11" i="12"/>
  <c r="AF11" i="12"/>
  <c r="AO11" i="12"/>
  <c r="Y11" i="12"/>
  <c r="AG11" i="12"/>
  <c r="AM11" i="12"/>
  <c r="C11" i="12"/>
  <c r="AP11" i="12"/>
  <c r="AB11" i="12"/>
  <c r="AE11" i="12"/>
  <c r="AH11" i="12"/>
  <c r="J11" i="12"/>
  <c r="AA11" i="12"/>
  <c r="AN11" i="12"/>
  <c r="Z11" i="12"/>
  <c r="E11" i="12"/>
  <c r="AT11" i="12"/>
  <c r="S11" i="12" l="1"/>
  <c r="O11" i="12"/>
  <c r="P11" i="12"/>
  <c r="U11" i="12"/>
  <c r="T11" i="12"/>
  <c r="Q11" i="12"/>
  <c r="AU11" i="12"/>
  <c r="AI11" i="12"/>
  <c r="M11" i="12"/>
  <c r="V11" i="12"/>
  <c r="F11" i="12"/>
  <c r="H11" i="12"/>
  <c r="G11" i="12"/>
  <c r="N11" i="12"/>
  <c r="R11" i="12"/>
  <c r="A12" i="12" a="1"/>
  <c r="A12" i="12" l="1"/>
  <c r="W11" i="12"/>
  <c r="L12" i="12" l="1"/>
  <c r="C12" i="12"/>
  <c r="I12" i="12"/>
  <c r="AL12" i="12"/>
  <c r="E12" i="12"/>
  <c r="AF12" i="12"/>
  <c r="B12" i="12"/>
  <c r="AE12" i="12"/>
  <c r="AA12" i="12"/>
  <c r="AQ12" i="12"/>
  <c r="D12" i="12"/>
  <c r="J12" i="12"/>
  <c r="AK12" i="12"/>
  <c r="AS12" i="12"/>
  <c r="AT12" i="12"/>
  <c r="AO12" i="12"/>
  <c r="AN12" i="12"/>
  <c r="AH12" i="12"/>
  <c r="AB12" i="12"/>
  <c r="K12" i="12"/>
  <c r="AR12" i="12"/>
  <c r="AC12" i="12"/>
  <c r="Y12" i="12"/>
  <c r="Z12" i="12"/>
  <c r="AM12" i="12"/>
  <c r="AG12" i="12"/>
  <c r="AP12" i="12"/>
  <c r="AD12" i="12"/>
  <c r="N12" i="12" l="1"/>
  <c r="P12" i="12"/>
  <c r="R12" i="12"/>
  <c r="S12" i="12"/>
  <c r="T12" i="12"/>
  <c r="M12" i="12"/>
  <c r="AI12" i="12"/>
  <c r="AU12" i="12"/>
  <c r="H12" i="12"/>
  <c r="F12" i="12"/>
  <c r="G12" i="12"/>
  <c r="U12" i="12"/>
  <c r="Q12" i="12"/>
  <c r="V12" i="12"/>
  <c r="O12" i="12"/>
  <c r="A13" i="12" a="1"/>
  <c r="A13" i="12" l="1"/>
  <c r="W12" i="12"/>
  <c r="AN13" i="12" l="1"/>
  <c r="L13" i="12"/>
  <c r="K13" i="12"/>
  <c r="C13" i="12"/>
  <c r="AH13" i="12"/>
  <c r="AT13" i="12"/>
  <c r="AO13" i="12"/>
  <c r="AL13" i="12"/>
  <c r="I13" i="12"/>
  <c r="B13" i="12"/>
  <c r="AM13" i="12"/>
  <c r="AB13" i="12"/>
  <c r="D13" i="12"/>
  <c r="AD13" i="12"/>
  <c r="AF13" i="12"/>
  <c r="AP13" i="12"/>
  <c r="AR13" i="12"/>
  <c r="Y13" i="12"/>
  <c r="AA13" i="12"/>
  <c r="AE13" i="12"/>
  <c r="E13" i="12"/>
  <c r="AG13" i="12"/>
  <c r="J13" i="12"/>
  <c r="Z13" i="12"/>
  <c r="AQ13" i="12"/>
  <c r="AS13" i="12"/>
  <c r="AK13" i="12"/>
  <c r="AC13" i="12"/>
  <c r="P13" i="12" l="1"/>
  <c r="N13" i="12"/>
  <c r="U13" i="12"/>
  <c r="S13" i="12"/>
  <c r="T13" i="12"/>
  <c r="O13" i="12"/>
  <c r="Q13" i="12"/>
  <c r="AU13" i="12"/>
  <c r="M13" i="12"/>
  <c r="AI13" i="12"/>
  <c r="R13" i="12"/>
  <c r="F13" i="12"/>
  <c r="G13" i="12"/>
  <c r="H13" i="12"/>
  <c r="V13" i="12"/>
  <c r="A14" i="12" a="1"/>
  <c r="A14" i="12" l="1"/>
  <c r="W13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AS14" i="12"/>
  <c r="AM14" i="12"/>
  <c r="J14" i="12"/>
  <c r="AN14" i="12"/>
  <c r="AA14" i="12"/>
  <c r="AP14" i="12"/>
  <c r="N14" i="12" l="1"/>
  <c r="R14" i="12"/>
  <c r="P14" i="12"/>
  <c r="V14" i="12"/>
  <c r="S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AE15" i="12"/>
  <c r="AG15" i="12"/>
  <c r="Y15" i="12"/>
  <c r="L15" i="12"/>
  <c r="AM15" i="12"/>
  <c r="AB15" i="12"/>
  <c r="AO15" i="12"/>
  <c r="D15" i="12"/>
  <c r="K15" i="12"/>
  <c r="AS15" i="12"/>
  <c r="Z15" i="12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N15" i="12" l="1"/>
  <c r="V15" i="12"/>
  <c r="O15" i="12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AM16" i="12"/>
  <c r="AD16" i="12"/>
  <c r="AK16" i="12"/>
  <c r="I16" i="12"/>
  <c r="AN16" i="12"/>
  <c r="E16" i="12"/>
  <c r="AH16" i="12"/>
  <c r="V16" i="12" s="1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R16" i="12" l="1"/>
  <c r="P16" i="12"/>
  <c r="T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V17" i="12" s="1"/>
  <c r="AE17" i="12"/>
  <c r="L17" i="12"/>
  <c r="AG17" i="12"/>
  <c r="AM17" i="12"/>
  <c r="AR17" i="12"/>
  <c r="C17" i="12"/>
  <c r="AD17" i="12"/>
  <c r="AF17" i="12"/>
  <c r="T17" i="12" s="1"/>
  <c r="AS17" i="12"/>
  <c r="AA17" i="12"/>
  <c r="Z17" i="12"/>
  <c r="D17" i="12"/>
  <c r="AC17" i="12"/>
  <c r="I17" i="12"/>
  <c r="AO17" i="12"/>
  <c r="E17" i="12"/>
  <c r="AP17" i="12"/>
  <c r="A18" i="12" a="1"/>
  <c r="S17" i="12" l="1"/>
  <c r="N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AQ18" i="12"/>
  <c r="K18" i="12"/>
  <c r="E18" i="12"/>
  <c r="AE18" i="12"/>
  <c r="AR18" i="12"/>
  <c r="AN18" i="12"/>
  <c r="AK18" i="12"/>
  <c r="AS18" i="12"/>
  <c r="D18" i="12"/>
  <c r="AD18" i="12"/>
  <c r="AA18" i="12"/>
  <c r="J18" i="12"/>
  <c r="AB18" i="12"/>
  <c r="AM18" i="12"/>
  <c r="AT18" i="12"/>
  <c r="AH18" i="12"/>
  <c r="L18" i="12"/>
  <c r="A19" i="12" a="1"/>
  <c r="N18" i="12" l="1"/>
  <c r="V18" i="12"/>
  <c r="R18" i="12"/>
  <c r="T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A20" i="12" a="1"/>
  <c r="R19" i="12" l="1"/>
  <c r="T19" i="12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A21" i="12" a="1"/>
  <c r="R20" i="12" l="1"/>
  <c r="P20" i="12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AQ21" i="12"/>
  <c r="AO21" i="12"/>
  <c r="AG21" i="12"/>
  <c r="AR21" i="12"/>
  <c r="Z21" i="12"/>
  <c r="AL21" i="12"/>
  <c r="AM21" i="12"/>
  <c r="O21" i="12" s="1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P21" i="12" l="1"/>
  <c r="T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N25" i="12" l="1"/>
  <c r="T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U26" i="12" s="1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O26" i="12" l="1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R27" i="12" l="1"/>
  <c r="Q27" i="12"/>
  <c r="U27" i="12"/>
  <c r="T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P29" i="12" l="1"/>
  <c r="O29" i="12"/>
  <c r="R29" i="12"/>
  <c r="Q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N30" i="12" l="1"/>
  <c r="O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O31" i="12" s="1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U31" i="12"/>
  <c r="S31" i="12"/>
  <c r="V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U32" i="12" l="1"/>
  <c r="P32" i="12"/>
  <c r="N32" i="12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N33" i="12"/>
  <c r="R33" i="12"/>
  <c r="P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P35" i="12" l="1"/>
  <c r="O35" i="12"/>
  <c r="N35" i="12"/>
  <c r="V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V36" i="12" s="1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Q36" i="12" l="1"/>
  <c r="R36" i="12"/>
  <c r="T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T37" i="12" l="1"/>
  <c r="S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P38" i="12"/>
  <c r="S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Q40" i="12"/>
  <c r="N40" i="12"/>
  <c r="O40" i="12"/>
  <c r="U40" i="12"/>
  <c r="V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N41" i="12" s="1"/>
  <c r="I41" i="12"/>
  <c r="D41" i="12"/>
  <c r="A42" i="12" a="1"/>
  <c r="T41" i="12" l="1"/>
  <c r="V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Q42" i="12" l="1"/>
  <c r="U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T43" i="12" s="1"/>
  <c r="AG43" i="12"/>
  <c r="U43" i="12" s="1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S43" i="12" l="1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V45" i="12" l="1"/>
  <c r="P45" i="12"/>
  <c r="T45" i="12"/>
  <c r="U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P46" i="12"/>
  <c r="T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N47" i="12" s="1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Q47" i="12" l="1"/>
  <c r="U47" i="12"/>
  <c r="T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N49" i="12" l="1"/>
  <c r="V49" i="12"/>
  <c r="U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P51" i="12" s="1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U51" i="12" l="1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S52" i="12" s="1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P52" i="12" l="1"/>
  <c r="T52" i="12"/>
  <c r="N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V53" i="12" s="1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O53" i="12" s="1"/>
  <c r="J53" i="12"/>
  <c r="D53" i="12"/>
  <c r="A54" i="12" a="1"/>
  <c r="Q53" i="12" l="1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N55" i="12" s="1"/>
  <c r="K55" i="12"/>
  <c r="AD55" i="12"/>
  <c r="AR55" i="12"/>
  <c r="I55" i="12"/>
  <c r="Y55" i="12"/>
  <c r="AM55" i="12"/>
  <c r="A56" i="12" a="1"/>
  <c r="T55" i="12" l="1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O57" i="12" l="1"/>
  <c r="Q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U58" i="12" s="1"/>
  <c r="L58" i="12"/>
  <c r="AP58" i="12"/>
  <c r="E58" i="12"/>
  <c r="Z58" i="12"/>
  <c r="AO58" i="12"/>
  <c r="AH58" i="12"/>
  <c r="A59" i="12" a="1"/>
  <c r="P58" i="12" l="1"/>
  <c r="Q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S59" i="12" s="1"/>
  <c r="AS59" i="12"/>
  <c r="B59" i="12"/>
  <c r="AG59" i="12"/>
  <c r="AB59" i="12"/>
  <c r="AM59" i="12"/>
  <c r="AH59" i="12"/>
  <c r="AQ59" i="12"/>
  <c r="AA59" i="12"/>
  <c r="O59" i="12" s="1"/>
  <c r="C59" i="12"/>
  <c r="AP59" i="12"/>
  <c r="AO59" i="12"/>
  <c r="AN59" i="12"/>
  <c r="AF59" i="12"/>
  <c r="L59" i="12"/>
  <c r="D59" i="12"/>
  <c r="K59" i="12"/>
  <c r="AD59" i="12"/>
  <c r="A60" i="12" a="1"/>
  <c r="N59" i="12" l="1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R60" i="12" s="1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U61" i="12" s="1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T61" i="12" l="1"/>
  <c r="P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P62" i="12" s="1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Q63" i="12" s="1"/>
  <c r="D63" i="12"/>
  <c r="B63" i="12"/>
  <c r="AE63" i="12"/>
  <c r="I63" i="12"/>
  <c r="AR63" i="12"/>
  <c r="AH63" i="12"/>
  <c r="A64" i="12" a="1"/>
  <c r="N63" i="12" l="1"/>
  <c r="S63" i="12"/>
  <c r="O63" i="12"/>
  <c r="V63" i="12"/>
  <c r="U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Q64" i="12" l="1"/>
  <c r="AU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U67" i="12" l="1"/>
  <c r="V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P69" i="12" l="1"/>
  <c r="O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N70" i="12" s="1"/>
  <c r="AR70" i="12"/>
  <c r="I70" i="12"/>
  <c r="AN70" i="12"/>
  <c r="B70" i="12"/>
  <c r="AM70" i="12"/>
  <c r="A71" i="12" a="1"/>
  <c r="T70" i="12" l="1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V73" i="12" s="1"/>
  <c r="AE73" i="12"/>
  <c r="AG73" i="12"/>
  <c r="AS73" i="12"/>
  <c r="AC73" i="12"/>
  <c r="AM73" i="12"/>
  <c r="AL73" i="12"/>
  <c r="A74" i="12" a="1"/>
  <c r="O73" i="12" l="1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R74" i="12" l="1"/>
  <c r="S74" i="12"/>
  <c r="P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N75" i="12" s="1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R77" i="12" s="1"/>
  <c r="AR77" i="12"/>
  <c r="AC77" i="12"/>
  <c r="AK77" i="12"/>
  <c r="L77" i="12"/>
  <c r="K77" i="12"/>
  <c r="AP77" i="12"/>
  <c r="C77" i="12"/>
  <c r="AN77" i="12"/>
  <c r="AL77" i="12"/>
  <c r="AG77" i="12"/>
  <c r="U77" i="12" s="1"/>
  <c r="E77" i="12"/>
  <c r="D77" i="12"/>
  <c r="AF77" i="12"/>
  <c r="AO77" i="12"/>
  <c r="B77" i="12"/>
  <c r="A78" i="12" a="1"/>
  <c r="Q77" i="12" l="1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P80" i="12" s="1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O80" i="12" l="1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Q84" i="12" s="1"/>
  <c r="C84" i="12"/>
  <c r="E84" i="12"/>
  <c r="A85" i="12" a="1"/>
  <c r="P84" i="12" l="1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T86" i="12" s="1"/>
  <c r="AP86" i="12"/>
  <c r="K86" i="12"/>
  <c r="AQ86" i="12"/>
  <c r="B86" i="12"/>
  <c r="L86" i="12"/>
  <c r="AH86" i="12"/>
  <c r="I86" i="12"/>
  <c r="AA86" i="12"/>
  <c r="A87" i="12" a="1"/>
  <c r="P86" i="12" l="1"/>
  <c r="AU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O88" i="12" s="1"/>
  <c r="AE88" i="12"/>
  <c r="AR88" i="12"/>
  <c r="A89" i="12" a="1"/>
  <c r="N88" i="12" l="1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T89" i="12"/>
  <c r="R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V94" i="12" s="1"/>
  <c r="AD94" i="12"/>
  <c r="A95" i="12" a="1"/>
  <c r="U94" i="12" l="1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P95" i="12" l="1"/>
  <c r="O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Q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V97" i="12"/>
  <c r="U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Q98" i="12" l="1"/>
  <c r="O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O100" i="12" s="1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Q100" i="12" l="1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U101" i="12" s="1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T101" i="12" l="1"/>
  <c r="R101" i="12"/>
  <c r="V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N102" i="12" s="1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U102" i="12" l="1"/>
  <c r="R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N103" i="12" s="1"/>
  <c r="AB103" i="12"/>
  <c r="P103" i="12" s="1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T103" i="12" l="1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P104" i="12" l="1"/>
  <c r="N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S105" i="12" s="1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N105" i="12" l="1"/>
  <c r="P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R106" i="12" l="1"/>
  <c r="T106" i="12"/>
  <c r="P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N107" i="12" l="1"/>
  <c r="S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U108" i="12" l="1"/>
  <c r="O108" i="12"/>
  <c r="Q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Q109" i="12" l="1"/>
  <c r="T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N110" i="12" s="1"/>
  <c r="AE110" i="12"/>
  <c r="E110" i="12"/>
  <c r="AP110" i="12"/>
  <c r="B110" i="12"/>
  <c r="AS110" i="12"/>
  <c r="C110" i="12"/>
  <c r="AA110" i="12"/>
  <c r="O110" i="12" s="1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R110" i="12" l="1"/>
  <c r="P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U111" i="12" s="1"/>
  <c r="E111" i="12"/>
  <c r="L111" i="12"/>
  <c r="AT111" i="12"/>
  <c r="C111" i="12"/>
  <c r="AE111" i="12"/>
  <c r="A112" i="12" a="1"/>
  <c r="V111" i="12" l="1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R115" i="12" l="1"/>
  <c r="S115" i="12"/>
  <c r="Q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N116" i="12" s="1"/>
  <c r="D116" i="12"/>
  <c r="B116" i="12"/>
  <c r="AE116" i="12"/>
  <c r="AH116" i="12"/>
  <c r="J116" i="12"/>
  <c r="E116" i="12"/>
  <c r="AS116" i="12"/>
  <c r="AC116" i="12"/>
  <c r="A117" i="12" a="1"/>
  <c r="T116" i="12" l="1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V117" i="12" s="1"/>
  <c r="AO117" i="12"/>
  <c r="I117" i="12"/>
  <c r="AB117" i="12"/>
  <c r="AE117" i="12"/>
  <c r="A118" i="12" a="1"/>
  <c r="Q117" i="12" l="1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S119" i="12" s="1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V120" i="12" s="1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U120" i="12" l="1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N126" i="12" s="1"/>
  <c r="D126" i="12"/>
  <c r="A127" i="12" a="1"/>
  <c r="T126" i="12" l="1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R127" i="12" s="1"/>
  <c r="AL127" i="12"/>
  <c r="AF127" i="12"/>
  <c r="AQ127" i="12"/>
  <c r="AE127" i="12"/>
  <c r="AR127" i="12"/>
  <c r="B127" i="12"/>
  <c r="A128" i="12" a="1"/>
  <c r="U127" i="12" l="1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T129" i="12" s="1"/>
  <c r="AL129" i="12"/>
  <c r="AA129" i="12"/>
  <c r="B129" i="12"/>
  <c r="AN129" i="12"/>
  <c r="L129" i="12"/>
  <c r="AS129" i="12"/>
  <c r="Y129" i="12"/>
  <c r="A130" i="12" a="1"/>
  <c r="S129" i="12" l="1"/>
  <c r="P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P131" i="12" l="1"/>
  <c r="U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V133" i="12" s="1"/>
  <c r="L133" i="12"/>
  <c r="AP133" i="12"/>
  <c r="AN133" i="12"/>
  <c r="AF133" i="12"/>
  <c r="AS133" i="12"/>
  <c r="A134" i="12" a="1"/>
  <c r="P133" i="12" l="1"/>
  <c r="R133" i="12"/>
  <c r="N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S134" i="12" l="1"/>
  <c r="V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S135" i="12" s="1"/>
  <c r="C135" i="12"/>
  <c r="AC135" i="12"/>
  <c r="Y135" i="12"/>
  <c r="AF135" i="12"/>
  <c r="T135" i="12" s="1"/>
  <c r="Z135" i="12"/>
  <c r="L135" i="12"/>
  <c r="AM135" i="12"/>
  <c r="E135" i="12"/>
  <c r="AG135" i="12"/>
  <c r="A136" i="12" a="1"/>
  <c r="O135" i="12" l="1"/>
  <c r="P135" i="12"/>
  <c r="U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R137" i="12" s="1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S138" i="12" l="1"/>
  <c r="O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Q140" i="12" s="1"/>
  <c r="K140" i="12"/>
  <c r="AB140" i="12"/>
  <c r="D140" i="12"/>
  <c r="Z140" i="12"/>
  <c r="AF140" i="12"/>
  <c r="AK140" i="12"/>
  <c r="A141" i="12" a="1"/>
  <c r="V140" i="12" l="1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S141" i="12" s="1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Q141" i="12" l="1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Q145" i="12" s="1"/>
  <c r="AD145" i="12"/>
  <c r="A146" i="12" a="1"/>
  <c r="P145" i="12" l="1"/>
  <c r="T145" i="12"/>
  <c r="O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N146" i="12" s="1"/>
  <c r="AG146" i="12"/>
  <c r="AB146" i="12"/>
  <c r="J146" i="12"/>
  <c r="AE146" i="12"/>
  <c r="AA146" i="12"/>
  <c r="AN146" i="12"/>
  <c r="AL146" i="12"/>
  <c r="AC146" i="12"/>
  <c r="L146" i="12"/>
  <c r="AD146" i="12"/>
  <c r="R146" i="12" s="1"/>
  <c r="AH146" i="12"/>
  <c r="AT146" i="12"/>
  <c r="AQ146" i="12"/>
  <c r="AR146" i="12"/>
  <c r="B146" i="12"/>
  <c r="A147" i="12" a="1"/>
  <c r="Q146" i="12" l="1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O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O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O151" i="12" l="1"/>
  <c r="P151" i="12"/>
  <c r="R151" i="12"/>
  <c r="AU151" i="12"/>
  <c r="U151" i="12"/>
  <c r="T151" i="12"/>
  <c r="N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Q152" i="12" l="1"/>
  <c r="U152" i="12"/>
  <c r="S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T153" i="12" l="1"/>
  <c r="P153" i="12"/>
  <c r="O153" i="12"/>
  <c r="N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O154" i="12" s="1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Q154" i="12" l="1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R155" i="12" l="1"/>
  <c r="U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U157" i="12"/>
  <c r="V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O159" i="12" l="1"/>
  <c r="U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P161" i="12" l="1"/>
  <c r="U161" i="12"/>
  <c r="R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T162" i="12" l="1"/>
  <c r="U162" i="12"/>
  <c r="P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P163" i="12"/>
  <c r="V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R164" i="12" s="1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O164" i="12" l="1"/>
  <c r="Q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R165" i="12" s="1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S165" i="12" l="1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R167" i="12" s="1"/>
  <c r="AB167" i="12"/>
  <c r="A168" i="12" a="1"/>
  <c r="O167" i="12" l="1"/>
  <c r="P167" i="12"/>
  <c r="S167" i="12"/>
  <c r="N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U168" i="12" s="1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T168" i="12" l="1"/>
  <c r="P168" i="12"/>
  <c r="V168" i="12"/>
  <c r="O168" i="12"/>
  <c r="Q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T172" i="12" l="1"/>
  <c r="P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R173" i="12" l="1"/>
  <c r="T173" i="12"/>
  <c r="U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P174" i="12" l="1"/>
  <c r="S174" i="12"/>
  <c r="O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S175" i="12" s="1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U175" i="12" l="1"/>
  <c r="T175" i="12"/>
  <c r="Q175" i="12"/>
  <c r="N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R177" i="12" s="1"/>
  <c r="C177" i="12"/>
  <c r="K177" i="12"/>
  <c r="AR177" i="12"/>
  <c r="AK177" i="12"/>
  <c r="L177" i="12"/>
  <c r="Z177" i="12"/>
  <c r="N177" i="12" s="1"/>
  <c r="AG177" i="12"/>
  <c r="AH177" i="12"/>
  <c r="A178" i="12" a="1"/>
  <c r="O177" i="12" l="1"/>
  <c r="V177" i="12"/>
  <c r="Q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Q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V179" i="12" l="1"/>
  <c r="N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Q180" i="12" s="1"/>
  <c r="C180" i="12"/>
  <c r="L180" i="12"/>
  <c r="A181" i="12" a="1"/>
  <c r="S180" i="12" l="1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N183" i="12" s="1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Q183" i="12" l="1"/>
  <c r="AU183" i="12"/>
  <c r="P183" i="12"/>
  <c r="T183" i="12"/>
  <c r="V183" i="12"/>
  <c r="O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T184" i="12" l="1"/>
  <c r="U184" i="12"/>
  <c r="R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Q185" i="12" s="1"/>
  <c r="J185" i="12"/>
  <c r="AD185" i="12"/>
  <c r="AP185" i="12"/>
  <c r="AT185" i="12"/>
  <c r="AL185" i="12"/>
  <c r="AH185" i="12"/>
  <c r="D185" i="12"/>
  <c r="AK185" i="12"/>
  <c r="Z185" i="12"/>
  <c r="N185" i="12" s="1"/>
  <c r="C185" i="12"/>
  <c r="K185" i="12"/>
  <c r="AA185" i="12"/>
  <c r="AE185" i="12"/>
  <c r="E185" i="12"/>
  <c r="AS185" i="12"/>
  <c r="A186" i="12" a="1"/>
  <c r="O185" i="12" l="1"/>
  <c r="P185" i="12"/>
  <c r="V185" i="12"/>
  <c r="AU185" i="12"/>
  <c r="R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V186" i="12" l="1"/>
  <c r="P186" i="12"/>
  <c r="O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R189" i="12"/>
  <c r="S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P191" i="12" s="1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Q191" i="12" l="1"/>
  <c r="N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R192" i="12" l="1"/>
  <c r="P192" i="12"/>
  <c r="Q192" i="12"/>
  <c r="S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P195" i="12" l="1"/>
  <c r="T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V196" i="12"/>
  <c r="R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U198" i="12" s="1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S200" i="12" s="1"/>
  <c r="L200" i="12"/>
  <c r="AO200" i="12"/>
  <c r="A201" i="12" a="1"/>
  <c r="R200" i="12" l="1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V201" i="12" s="1"/>
  <c r="J201" i="12"/>
  <c r="C201" i="12"/>
  <c r="B201" i="12"/>
  <c r="AO201" i="12"/>
  <c r="D201" i="12"/>
  <c r="AQ201" i="12"/>
  <c r="AM201" i="12"/>
  <c r="AE201" i="12"/>
  <c r="A202" i="12" a="1"/>
  <c r="T201" i="12" l="1"/>
  <c r="N201" i="12"/>
  <c r="O201" i="12"/>
  <c r="S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O203" i="12" l="1"/>
  <c r="R203" i="12"/>
  <c r="P203" i="12"/>
  <c r="U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R204" i="12" l="1"/>
  <c r="P204" i="12"/>
  <c r="N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N205" i="12" s="1"/>
  <c r="AM205" i="12"/>
  <c r="AD205" i="12"/>
  <c r="A206" i="12" a="1"/>
  <c r="R205" i="12" l="1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Q207" i="12" l="1"/>
  <c r="R207" i="12"/>
  <c r="N207" i="12"/>
  <c r="S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O208" i="12" s="1"/>
  <c r="AT208" i="12"/>
  <c r="A209" i="12" a="1"/>
  <c r="U208" i="12" l="1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Q210" i="12" s="1"/>
  <c r="AH210" i="12"/>
  <c r="AT210" i="12"/>
  <c r="AR210" i="12"/>
  <c r="J210" i="12"/>
  <c r="AF210" i="12"/>
  <c r="A211" i="12" a="1"/>
  <c r="T210" i="12" l="1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R211" i="12" l="1"/>
  <c r="O211" i="12"/>
  <c r="Q211" i="12"/>
  <c r="P211" i="12"/>
  <c r="V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N212" i="12" s="1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O213" i="12" l="1"/>
  <c r="P213" i="12"/>
  <c r="V213" i="12"/>
  <c r="U213" i="12"/>
  <c r="R213" i="12"/>
  <c r="N213" i="12"/>
  <c r="Q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T215" i="12" l="1"/>
  <c r="O215" i="12"/>
  <c r="Q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O216" i="12" l="1"/>
  <c r="N216" i="12"/>
  <c r="V216" i="12"/>
  <c r="R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Q217" i="12" l="1"/>
  <c r="N217" i="12"/>
  <c r="T217" i="12"/>
  <c r="P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Q220" i="12" s="1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N220" i="12" l="1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N222" i="12" l="1"/>
  <c r="S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S223" i="12" s="1"/>
  <c r="K223" i="12"/>
  <c r="AA223" i="12"/>
  <c r="AP223" i="12"/>
  <c r="J223" i="12"/>
  <c r="AD223" i="12"/>
  <c r="AO223" i="12"/>
  <c r="AG223" i="12"/>
  <c r="U223" i="12" s="1"/>
  <c r="Y223" i="12"/>
  <c r="A224" i="12" a="1"/>
  <c r="O223" i="12" l="1"/>
  <c r="V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P224" i="12" l="1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P227" i="12" l="1"/>
  <c r="N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O228" i="12" l="1"/>
  <c r="P228" i="12"/>
  <c r="N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P229" i="12" l="1"/>
  <c r="V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Q230" i="12" l="1"/>
  <c r="U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T231" i="12"/>
  <c r="O231" i="12"/>
  <c r="R231" i="12"/>
  <c r="V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Q232" i="12" l="1"/>
  <c r="N232" i="12"/>
  <c r="S232" i="12"/>
  <c r="P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R233" i="12" s="1"/>
  <c r="AM233" i="12"/>
  <c r="AB233" i="12"/>
  <c r="E233" i="12"/>
  <c r="AN233" i="12"/>
  <c r="AE233" i="12"/>
  <c r="AT233" i="12"/>
  <c r="B233" i="12"/>
  <c r="A234" i="12" a="1"/>
  <c r="Q233" i="12" l="1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N235" i="12"/>
  <c r="V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P237" i="12" l="1"/>
  <c r="T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U238" i="12" s="1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A239" i="12" a="1"/>
  <c r="Q238" i="12" l="1"/>
  <c r="N238" i="12"/>
  <c r="T238" i="12"/>
  <c r="V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A240" i="12" a="1"/>
  <c r="V239" i="12" l="1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Q240" i="12" s="1"/>
  <c r="AS240" i="12"/>
  <c r="AB240" i="12"/>
  <c r="AM240" i="12"/>
  <c r="Y240" i="12"/>
  <c r="AN240" i="12"/>
  <c r="A241" i="12" a="1"/>
  <c r="O240" i="12" l="1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U241" i="12" l="1"/>
  <c r="O241" i="12"/>
  <c r="R241" i="12"/>
  <c r="Q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U242" i="12" s="1"/>
  <c r="AN242" i="12"/>
  <c r="AH242" i="12"/>
  <c r="L242" i="12"/>
  <c r="E242" i="12"/>
  <c r="AO242" i="12"/>
  <c r="A243" i="12" a="1"/>
  <c r="Q242" i="12" l="1"/>
  <c r="S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O243" i="12" l="1"/>
  <c r="S243" i="12"/>
  <c r="N243" i="12"/>
  <c r="R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N245" i="12" l="1"/>
  <c r="Q245" i="12"/>
  <c r="V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V247" i="12" l="1"/>
  <c r="P247" i="12"/>
  <c r="N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Q249" i="12" s="1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P249" i="12" l="1"/>
  <c r="T249" i="12"/>
  <c r="R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A254" i="12" a="1"/>
  <c r="V253" i="12" l="1"/>
  <c r="U253" i="12"/>
  <c r="O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O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P255" i="12" s="1"/>
  <c r="L255" i="12"/>
  <c r="AC255" i="12"/>
  <c r="A256" i="12" a="1"/>
  <c r="O255" i="12" l="1"/>
  <c r="U255" i="12"/>
  <c r="Q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O256" i="12" l="1"/>
  <c r="N256" i="12"/>
  <c r="S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U257" i="12" s="1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V258" i="12" l="1"/>
  <c r="P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P260" i="12" l="1"/>
  <c r="V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P261" i="12" s="1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R262" i="12"/>
  <c r="Q262" i="12"/>
  <c r="P262" i="12"/>
  <c r="O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R263" i="12" s="1"/>
  <c r="AR263" i="12"/>
  <c r="AE263" i="12"/>
  <c r="AG263" i="12"/>
  <c r="C263" i="12"/>
  <c r="L263" i="12"/>
  <c r="I263" i="12"/>
  <c r="AC263" i="12"/>
  <c r="AF263" i="12"/>
  <c r="A264" i="12" a="1"/>
  <c r="U263" i="12" l="1"/>
  <c r="P263" i="12"/>
  <c r="N263" i="12"/>
  <c r="V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S264" i="12" s="1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V264" i="12" l="1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S265" i="12" s="1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N266" i="12" s="1"/>
  <c r="AB266" i="12"/>
  <c r="AP266" i="12"/>
  <c r="B266" i="12"/>
  <c r="I266" i="12"/>
  <c r="AC266" i="12"/>
  <c r="A267" i="12" a="1"/>
  <c r="R266" i="12" l="1"/>
  <c r="U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N268" i="12" l="1"/>
  <c r="O268" i="12"/>
  <c r="P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Q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S270" i="12" l="1"/>
  <c r="U270" i="12"/>
  <c r="O270" i="12"/>
  <c r="N270" i="12"/>
  <c r="R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P271" i="12" s="1"/>
  <c r="C271" i="12"/>
  <c r="AO271" i="12"/>
  <c r="AD271" i="12"/>
  <c r="D271" i="12"/>
  <c r="AM271" i="12"/>
  <c r="AS271" i="12"/>
  <c r="AH271" i="12"/>
  <c r="A272" i="12" a="1"/>
  <c r="V271" i="12" l="1"/>
  <c r="U271" i="12"/>
  <c r="T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Q272" i="12" l="1"/>
  <c r="V272" i="12"/>
  <c r="U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O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P274" i="12" l="1"/>
  <c r="Q274" i="12"/>
  <c r="T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V275" i="12" s="1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U275" i="12" l="1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U278" i="12" l="1"/>
  <c r="V278" i="12"/>
  <c r="O278" i="12"/>
  <c r="R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N279" i="12" s="1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N280" i="12" l="1"/>
  <c r="R280" i="12"/>
  <c r="O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P282" i="12" l="1"/>
  <c r="S282" i="12"/>
  <c r="R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S283" i="12" l="1"/>
  <c r="N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V284" i="12"/>
  <c r="R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T286" i="12"/>
  <c r="Q286" i="12"/>
  <c r="O286" i="12"/>
  <c r="V286" i="12"/>
  <c r="AU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P287" i="12" s="1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Q288" i="12" l="1"/>
  <c r="U288" i="12"/>
  <c r="T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S289" i="12" s="1"/>
  <c r="AT289" i="12"/>
  <c r="Y289" i="12"/>
  <c r="AG289" i="12"/>
  <c r="AN289" i="12"/>
  <c r="K289" i="12"/>
  <c r="AL289" i="12"/>
  <c r="AK289" i="12"/>
  <c r="A290" i="12" a="1"/>
  <c r="P289" i="12" l="1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T290" i="12"/>
  <c r="N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N292" i="12"/>
  <c r="R292" i="12"/>
  <c r="U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T293" i="12" l="1"/>
  <c r="O293" i="12"/>
  <c r="U293" i="12"/>
  <c r="Q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S295" i="12" s="1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T296" i="12" s="1"/>
  <c r="Y296" i="12"/>
  <c r="A297" i="12" a="1"/>
  <c r="V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U297" i="12" l="1"/>
  <c r="R297" i="12"/>
  <c r="T297" i="12"/>
  <c r="V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U298" i="12" s="1"/>
  <c r="D298" i="12"/>
  <c r="AH298" i="12"/>
  <c r="A299" i="12" a="1"/>
  <c r="T298" i="12" l="1"/>
  <c r="S298" i="12"/>
  <c r="N298" i="12"/>
  <c r="Q298" i="12"/>
  <c r="V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T299" i="12" l="1"/>
  <c r="V299" i="12"/>
  <c r="O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V300" i="12"/>
  <c r="N300" i="12"/>
  <c r="O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<sst xmlns="http://schemas.openxmlformats.org/spreadsheetml/2006/main" count="2338" uniqueCount="1416">
  <si>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</si>
  <si>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</si>
  <si>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</si>
  <si>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</si>
  <si>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</si>
  <si>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</si>
  <si>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</si>
  <si>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</si>
  <si>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</si>
  <si>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</si>
  <si>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</si>
  <si>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</si>
  <si>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</si>
  <si>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</si>
  <si>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</si>
  <si>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</si>
  <si>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</si>
  <si>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</si>
  <si>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</si>
  <si>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</si>
  <si>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</si>
  <si>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</si>
  <si>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</si>
  <si>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</si>
  <si>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</si>
  <si>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</si>
  <si>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</si>
  <si>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</si>
  <si>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</si>
  <si>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</si>
  <si>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</si>
  <si>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</si>
  <si>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</si>
  <si>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</si>
  <si>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</si>
  <si>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</si>
  <si>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</si>
  <si>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</si>
  <si>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</si>
  <si>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</si>
  <si>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</si>
  <si>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</si>
  <si>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</si>
  <si>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</si>
  <si>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</si>
  <si>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</si>
  <si>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</si>
  <si>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</si>
  <si>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</si>
  <si>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</si>
  <si>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</si>
  <si>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</si>
  <si>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</si>
  <si>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</si>
  <si>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</si>
  <si>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</si>
  <si>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</si>
  <si>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</si>
  <si>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</si>
  <si>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</si>
  <si>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</si>
  <si>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</si>
  <si>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</si>
  <si>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</si>
  <si>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</si>
  <si>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</si>
  <si>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</si>
  <si>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</si>
  <si>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</si>
  <si>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</si>
  <si>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</si>
  <si>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</si>
  <si>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</si>
  <si>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</si>
  <si>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</si>
  <si>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</si>
  <si>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</si>
  <si>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</si>
  <si>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</si>
  <si>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</si>
  <si>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</si>
  <si>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</si>
  <si>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</si>
  <si>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</si>
  <si>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</si>
  <si>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</si>
  <si>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</si>
  <si>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</si>
  <si>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</si>
  <si>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</si>
  <si>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</si>
  <si>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</si>
  <si>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</si>
  <si>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</si>
  <si>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</si>
  <si>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</si>
  <si>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</si>
  <si>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</si>
  <si>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</si>
  <si>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</si>
  <si>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</si>
  <si>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</si>
  <si>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</si>
  <si>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</si>
  <si>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</si>
  <si>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</si>
  <si>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</si>
  <si>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</si>
  <si>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</si>
  <si>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</si>
  <si>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</si>
  <si>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</si>
  <si>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</si>
  <si>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</si>
  <si>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</si>
  <si>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</si>
  <si>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</si>
  <si>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</si>
  <si>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</si>
  <si>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</si>
  <si>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</si>
  <si>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</si>
  <si>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</si>
  <si>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</si>
  <si>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</si>
  <si>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</si>
  <si>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</si>
  <si>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</si>
  <si>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</si>
  <si>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</si>
  <si>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</si>
  <si>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</si>
  <si>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</si>
  <si>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</si>
  <si>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</si>
  <si>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</si>
  <si>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</si>
  <si>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</si>
  <si>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</si>
  <si>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</si>
  <si>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</si>
  <si>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</si>
  <si>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</si>
  <si>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</si>
  <si>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</si>
  <si>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</si>
  <si>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</si>
  <si>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</si>
  <si>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</si>
  <si>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</si>
  <si>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</si>
  <si>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</si>
  <si>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</si>
  <si>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</si>
  <si>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</si>
  <si>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</si>
  <si>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</si>
  <si>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</si>
  <si>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</si>
  <si>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</si>
  <si>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</si>
  <si>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</si>
  <si>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</si>
  <si>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</si>
  <si>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</si>
  <si>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</si>
  <si>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</si>
  <si>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</si>
  <si>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</si>
  <si>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</si>
  <si>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</si>
  <si>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</si>
  <si>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</si>
  <si>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</si>
  <si>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</si>
  <si>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</si>
  <si>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</si>
  <si>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</si>
  <si>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</si>
  <si>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</si>
  <si>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</si>
  <si>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</si>
  <si>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</si>
  <si>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</si>
  <si>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</si>
  <si>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</si>
  <si>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</si>
  <si>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</si>
  <si>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</si>
  <si>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</si>
  <si>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</si>
  <si>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</si>
  <si>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</si>
  <si>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</si>
  <si>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</si>
  <si>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</si>
  <si>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</si>
  <si>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</si>
  <si>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</si>
  <si>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</si>
  <si>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</si>
  <si>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</si>
  <si>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</si>
  <si>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</si>
  <si>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</si>
  <si>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</si>
  <si>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</si>
  <si>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</si>
  <si>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</si>
  <si>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</si>
  <si>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</si>
  <si>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</si>
  <si>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</si>
  <si>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</si>
  <si>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</si>
  <si>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</si>
  <si>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</si>
  <si>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</si>
  <si>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</si>
  <si>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</si>
  <si>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</si>
  <si>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</si>
  <si>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</si>
  <si>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</si>
  <si>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</si>
  <si>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</si>
  <si>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</si>
  <si>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</si>
  <si>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</si>
  <si>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</si>
  <si>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</si>
  <si>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</si>
  <si>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</si>
  <si>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</si>
  <si>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</si>
  <si>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</si>
  <si>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</si>
  <si>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</si>
  <si>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</si>
  <si>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</si>
  <si>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</si>
  <si>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</si>
  <si>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</si>
  <si>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</si>
  <si>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</si>
  <si>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</si>
  <si>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</si>
  <si>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</si>
  <si>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</si>
  <si>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</si>
  <si>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</si>
  <si>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</si>
  <si>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</si>
  <si>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</si>
  <si>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</si>
  <si>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</si>
  <si>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</si>
  <si>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</si>
  <si>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</si>
  <si>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</si>
  <si>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</si>
  <si>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</si>
  <si>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</si>
  <si>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</si>
  <si>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</si>
  <si>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</si>
  <si>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</si>
  <si>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</si>
  <si>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</si>
  <si>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</si>
  <si>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</si>
  <si>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</si>
  <si>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</si>
  <si>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</si>
  <si>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</si>
  <si>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</si>
  <si>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</si>
  <si>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</si>
  <si>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</si>
  <si>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</si>
  <si>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</si>
  <si>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</si>
  <si>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</si>
  <si>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</si>
  <si>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</si>
  <si>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</si>
  <si>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</si>
  <si>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</si>
  <si>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</si>
  <si>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</si>
  <si>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</si>
  <si>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</si>
  <si>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</si>
  <si>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</si>
  <si>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</si>
  <si>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</si>
  <si>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</si>
  <si>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</si>
  <si>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</si>
  <si>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</si>
  <si>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</si>
  <si>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</si>
  <si>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</si>
  <si>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</si>
  <si>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</si>
  <si>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</si>
  <si>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</si>
  <si>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</si>
  <si>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</si>
  <si>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</si>
  <si>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</si>
  <si>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</si>
  <si>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</si>
  <si>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</si>
  <si>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</si>
  <si>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</si>
  <si>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</si>
  <si>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</si>
  <si>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</si>
  <si>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</si>
  <si>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</si>
  <si>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</si>
  <si>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</si>
  <si>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</si>
  <si>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</si>
  <si>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</si>
  <si>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</si>
  <si>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</si>
  <si>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</si>
  <si>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</si>
  <si>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</si>
  <si>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</si>
  <si>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</si>
  <si>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</si>
  <si>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</si>
  <si>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</si>
  <si>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</si>
  <si>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</si>
  <si>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</si>
  <si>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</si>
  <si>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</si>
  <si>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</si>
  <si>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</si>
  <si>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</si>
  <si>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</si>
  <si>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</si>
  <si>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</si>
  <si>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</si>
  <si>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</si>
  <si>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</si>
  <si>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</si>
  <si>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</si>
  <si>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</si>
  <si>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</si>
  <si>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</si>
  <si>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</si>
  <si>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</si>
  <si>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</si>
  <si>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</si>
  <si>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</si>
  <si>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</si>
  <si>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</si>
  <si>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</si>
  <si>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</si>
  <si>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</si>
  <si>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</si>
  <si>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</si>
  <si>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</si>
  <si>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</si>
  <si>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</si>
  <si>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</si>
  <si>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</si>
  <si>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</si>
  <si>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</si>
  <si>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</si>
  <si>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</si>
  <si>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</si>
  <si>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</si>
  <si>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</si>
  <si>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</si>
  <si>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</si>
  <si>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</si>
  <si>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</si>
  <si>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</si>
  <si>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</si>
  <si>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</si>
  <si>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</si>
  <si>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</si>
  <si>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</si>
  <si>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</si>
  <si>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</si>
  <si>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</si>
  <si>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</si>
  <si>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</si>
  <si>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</si>
  <si>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</si>
  <si>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</si>
  <si>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</si>
  <si>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</si>
  <si>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</si>
  <si>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</si>
  <si>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</si>
  <si>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</si>
  <si>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</si>
  <si>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</si>
  <si>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</si>
  <si>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</si>
  <si>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</si>
  <si>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</si>
  <si>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</si>
  <si>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</si>
  <si>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</si>
  <si>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</si>
  <si>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</si>
  <si>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</si>
  <si>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</si>
  <si>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</si>
  <si>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</si>
  <si>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</si>
  <si>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</si>
  <si>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</si>
  <si>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</si>
  <si>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</si>
  <si>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</si>
  <si>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</si>
  <si>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</si>
  <si>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</si>
  <si>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</si>
  <si>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</si>
  <si>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</si>
  <si>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</si>
  <si>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</si>
  <si>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</si>
  <si>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</si>
  <si>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</si>
  <si>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</si>
  <si>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</si>
  <si>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</si>
  <si>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</si>
  <si>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</si>
  <si>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</si>
  <si>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</si>
  <si>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</si>
  <si>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</si>
  <si>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</si>
  <si>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</si>
  <si>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</si>
  <si>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</si>
  <si>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</si>
  <si>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</si>
  <si>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</si>
  <si>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</si>
  <si>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</si>
  <si>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</si>
  <si>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</si>
  <si>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</si>
  <si>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</si>
  <si>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</si>
  <si>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</si>
  <si>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</si>
  <si>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</si>
  <si>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</si>
  <si>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</si>
  <si>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</si>
  <si>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</si>
  <si>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</si>
  <si>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</si>
  <si>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</si>
  <si>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</si>
  <si>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</si>
  <si>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</si>
  <si>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</si>
  <si>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</si>
  <si>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</si>
  <si>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</si>
  <si>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</si>
  <si>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</si>
  <si>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</si>
  <si>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</si>
  <si>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</si>
  <si>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</si>
  <si>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</si>
  <si>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</si>
  <si>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</si>
  <si>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</si>
  <si>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</si>
  <si>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</si>
  <si>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</si>
  <si>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</si>
  <si>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</si>
  <si>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</si>
  <si>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</si>
  <si>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</si>
  <si>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</si>
  <si>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</si>
  <si>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</si>
  <si>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</si>
  <si>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</si>
  <si>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</si>
  <si>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</si>
  <si>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</si>
  <si>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</si>
  <si>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</si>
  <si>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</si>
  <si>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</si>
  <si>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</si>
  <si>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</si>
  <si>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</si>
  <si>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</si>
  <si>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</si>
  <si>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</si>
  <si>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</si>
  <si>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</si>
  <si>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</si>
  <si>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</si>
  <si>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</si>
  <si>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</si>
  <si>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</si>
  <si>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</si>
  <si>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</si>
  <si>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</si>
  <si>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</si>
  <si>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</si>
  <si>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</si>
  <si>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</si>
  <si>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</si>
  <si>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</si>
  <si>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</si>
  <si>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</si>
  <si>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</si>
  <si>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</si>
  <si>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</si>
  <si>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</si>
  <si>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</si>
  <si>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</si>
  <si>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</si>
  <si>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</si>
  <si>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</si>
  <si>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</si>
  <si>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</si>
  <si>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</si>
  <si>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</si>
  <si>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</si>
  <si>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</si>
  <si>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</si>
  <si>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</si>
  <si>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</si>
  <si>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</si>
  <si>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</si>
  <si>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</si>
  <si>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</si>
  <si>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</si>
  <si>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</si>
  <si>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</si>
  <si>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</si>
  <si>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</si>
  <si>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</si>
  <si>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</si>
  <si>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</si>
  <si>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</si>
  <si>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</si>
  <si>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</si>
  <si>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</si>
  <si>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</si>
  <si>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</si>
  <si>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</si>
  <si>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</si>
  <si>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</si>
  <si>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</si>
  <si>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</si>
  <si>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</si>
  <si>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</si>
  <si>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</si>
  <si>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</si>
  <si>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</si>
  <si>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</si>
  <si>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</si>
  <si>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</si>
  <si>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</si>
  <si>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</si>
  <si>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</si>
  <si>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</si>
  <si>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</si>
  <si>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</si>
  <si>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</si>
  <si>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</si>
  <si>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</si>
  <si>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</si>
  <si>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</si>
  <si>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</si>
  <si>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</si>
  <si>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</si>
  <si>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</si>
  <si>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</si>
  <si>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</si>
  <si>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</si>
  <si>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</si>
  <si>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</si>
  <si>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</si>
  <si>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</si>
  <si>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</si>
  <si>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</si>
  <si>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</si>
  <si>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</si>
  <si>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</si>
  <si>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</si>
  <si>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</si>
  <si>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</si>
  <si>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</si>
  <si>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</si>
  <si>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</si>
  <si>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</si>
  <si>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</si>
  <si>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</si>
  <si>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</si>
  <si>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</si>
  <si>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</si>
  <si>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</si>
  <si>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</si>
  <si>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</si>
  <si>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</si>
  <si>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</si>
  <si>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</si>
  <si>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</si>
  <si>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</si>
  <si>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</si>
  <si>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</si>
  <si>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</si>
  <si>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</si>
  <si>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</si>
  <si>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</si>
  <si>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</si>
  <si>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</si>
  <si>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</si>
  <si>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</si>
  <si>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</si>
  <si>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</si>
  <si>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</si>
  <si>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</si>
  <si>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</si>
  <si>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</si>
  <si>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</si>
  <si>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</si>
  <si>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</si>
  <si>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</si>
  <si>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</si>
  <si>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</si>
  <si>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</si>
  <si>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</si>
  <si>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</si>
  <si>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</si>
  <si>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</si>
  <si>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</si>
  <si>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</si>
  <si>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</si>
  <si>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</si>
  <si>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</si>
  <si>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</si>
  <si>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</si>
  <si>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</si>
  <si>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</si>
  <si>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</si>
  <si>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</si>
  <si>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</si>
  <si>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</si>
  <si>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</si>
  <si>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</si>
  <si>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</si>
  <si>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</si>
  <si>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</si>
  <si>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</si>
  <si>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</si>
  <si>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</si>
  <si>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</si>
  <si>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</si>
  <si>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</si>
  <si>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</si>
  <si>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</si>
  <si>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</si>
  <si>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</si>
  <si>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</si>
  <si>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</si>
  <si>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</si>
  <si>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</si>
  <si>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</si>
  <si>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</si>
  <si>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</si>
  <si>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</si>
  <si>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</si>
  <si>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</si>
  <si>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</si>
  <si>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</si>
  <si>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</si>
  <si>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</si>
  <si>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</si>
  <si>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</si>
  <si>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</si>
  <si>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</si>
  <si>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</si>
  <si>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</si>
  <si>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</si>
  <si>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</si>
  <si>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</si>
  <si>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</si>
  <si>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</si>
  <si>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</si>
  <si>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</si>
  <si>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</si>
  <si>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</si>
  <si>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</si>
  <si>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</si>
  <si>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</si>
  <si>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</si>
  <si>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</si>
  <si>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</si>
  <si>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</si>
  <si>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</si>
  <si>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</si>
  <si>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</si>
  <si>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</si>
  <si>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</si>
  <si>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</si>
  <si>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</si>
  <si>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</si>
  <si>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</si>
  <si>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</si>
  <si>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</si>
  <si>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</si>
  <si>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</si>
  <si>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</si>
  <si>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</si>
  <si>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</si>
  <si>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</si>
  <si>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</si>
  <si>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</si>
  <si>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</si>
  <si>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</si>
  <si>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</si>
  <si>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</si>
  <si>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</si>
  <si>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</si>
  <si>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</si>
  <si>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</si>
  <si>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</si>
  <si>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</si>
  <si>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</si>
  <si>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</si>
  <si>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</si>
  <si>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</si>
  <si>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</si>
  <si>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</si>
  <si>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</si>
  <si>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</si>
  <si>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</si>
  <si>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</si>
  <si>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</si>
  <si>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</si>
  <si>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</si>
  <si>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</si>
  <si>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</si>
  <si>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</si>
  <si>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</si>
  <si>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</si>
  <si>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</si>
  <si>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</si>
  <si>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</si>
  <si>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</si>
  <si>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</si>
  <si>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</si>
  <si>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</si>
  <si>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</si>
  <si>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</si>
  <si>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</si>
  <si>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</si>
  <si>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</si>
  <si>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</si>
  <si>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</si>
  <si>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</si>
  <si>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</si>
  <si>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</si>
  <si>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</si>
  <si>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</si>
  <si>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</si>
  <si>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</si>
  <si>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</si>
  <si>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</si>
  <si>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</si>
  <si>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</si>
  <si>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</si>
  <si>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</si>
  <si>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</si>
  <si>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</si>
  <si>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</si>
  <si>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</si>
  <si>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</si>
  <si>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</si>
  <si>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</si>
  <si>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</si>
  <si>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</si>
  <si>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</si>
  <si>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</si>
  <si>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</si>
  <si>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</si>
  <si>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</si>
  <si>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</si>
  <si>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</si>
  <si>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</si>
  <si>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</si>
  <si>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</si>
  <si>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</si>
  <si>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</si>
  <si>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</si>
  <si>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</si>
  <si>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</si>
  <si>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</si>
  <si>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</si>
  <si>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</si>
  <si>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</si>
  <si>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</si>
  <si>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</si>
  <si>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</si>
  <si>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</si>
  <si>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</si>
  <si>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</si>
  <si>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</si>
  <si>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</si>
  <si>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</si>
  <si>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</si>
  <si>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</si>
  <si>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</si>
  <si>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</si>
  <si>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</si>
  <si>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</si>
  <si>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</si>
  <si>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</si>
  <si>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</si>
  <si>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</si>
  <si>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</si>
  <si>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</si>
  <si>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</si>
  <si>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</si>
  <si>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</si>
  <si>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</si>
  <si>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</si>
  <si>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</si>
  <si>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</si>
  <si>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</si>
  <si>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</si>
  <si>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</si>
  <si>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</si>
  <si>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</si>
  <si>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</si>
  <si>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</si>
  <si>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</si>
  <si>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</si>
  <si>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</si>
  <si>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</si>
  <si>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</si>
  <si>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</si>
  <si>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</si>
  <si>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</si>
  <si>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</si>
  <si>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</si>
  <si>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</si>
  <si>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</si>
  <si>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</si>
  <si>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</si>
  <si>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</si>
  <si>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</si>
  <si>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</si>
  <si>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</si>
  <si>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</si>
  <si>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</si>
  <si>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</si>
  <si>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</si>
  <si>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</si>
  <si>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</si>
  <si>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</si>
  <si>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</si>
  <si>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</si>
  <si>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</si>
  <si>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</si>
  <si>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</si>
  <si>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</si>
  <si>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</si>
  <si>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</si>
  <si>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</si>
  <si>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</si>
  <si>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</si>
  <si>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</si>
  <si>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</si>
  <si>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</si>
  <si>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</si>
  <si>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</si>
  <si>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</si>
  <si>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</si>
  <si>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</si>
  <si>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</si>
  <si>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</si>
  <si>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</si>
  <si>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</si>
  <si>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</si>
  <si>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</si>
  <si>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</si>
  <si>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</si>
  <si>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</si>
  <si>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</si>
  <si>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</si>
  <si>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</si>
  <si>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</si>
  <si>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</si>
  <si>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</si>
  <si>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</si>
  <si>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</si>
  <si>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</si>
  <si>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</si>
  <si>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</si>
  <si>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</si>
  <si>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</si>
  <si>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</si>
  <si>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</si>
  <si>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</si>
  <si>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</si>
  <si>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</si>
  <si>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</si>
  <si>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</si>
  <si>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</si>
  <si>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</si>
  <si>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</si>
  <si>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</si>
  <si>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</si>
  <si>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</si>
  <si>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</si>
  <si>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</si>
  <si>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</si>
  <si>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</si>
  <si>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</si>
  <si>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</si>
  <si>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</si>
  <si>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</si>
  <si>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</si>
  <si>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</si>
  <si>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</si>
  <si>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</si>
  <si>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</si>
  <si>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</si>
  <si>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</si>
  <si>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</si>
  <si>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</si>
  <si>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</si>
  <si>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</si>
  <si>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</si>
  <si>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</si>
  <si>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</si>
  <si>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</si>
  <si>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</si>
  <si>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</si>
  <si>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</si>
  <si>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</si>
  <si>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</si>
  <si>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</si>
  <si>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</si>
  <si>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</si>
  <si>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</si>
  <si>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</si>
  <si>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</si>
  <si>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</si>
  <si>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</si>
  <si>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</si>
  <si>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</si>
  <si>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</si>
  <si>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</si>
  <si>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</si>
  <si>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</si>
  <si>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</si>
  <si>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</si>
  <si>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</si>
  <si>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</si>
  <si>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</si>
  <si>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</si>
  <si>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</si>
  <si>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</si>
  <si>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</si>
  <si>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</si>
  <si>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</si>
  <si>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</si>
  <si>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</si>
  <si>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</si>
  <si>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</si>
  <si>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</si>
  <si>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</si>
  <si>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</si>
  <si>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</si>
  <si>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</si>
  <si>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</si>
  <si>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</si>
  <si>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</si>
  <si>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</si>
  <si>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</si>
  <si>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</si>
  <si>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</si>
  <si>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</si>
  <si>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</si>
  <si>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</si>
  <si>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</si>
  <si>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</si>
  <si>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</si>
  <si>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</si>
  <si>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</si>
  <si>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</si>
  <si>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</si>
  <si>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</si>
  <si>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</si>
  <si>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</si>
  <si>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</si>
  <si>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</si>
  <si>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</si>
  <si>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</si>
  <si>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</si>
  <si>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</si>
  <si>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</si>
  <si>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</si>
  <si>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</si>
  <si>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</si>
  <si>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</si>
  <si>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</si>
  <si>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</si>
  <si>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</si>
  <si>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</si>
  <si>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</si>
  <si>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</si>
  <si>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</si>
  <si>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</si>
  <si>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</si>
  <si>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</si>
  <si>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</si>
  <si>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</si>
  <si>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</si>
  <si>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</si>
  <si>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</si>
  <si>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</si>
  <si>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</si>
  <si>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</si>
  <si>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</si>
  <si>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</si>
  <si>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</si>
  <si>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</si>
  <si>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</si>
  <si>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</si>
  <si>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</si>
  <si>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</si>
  <si>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</si>
  <si>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</si>
  <si>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</si>
  <si>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</si>
  <si>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</si>
  <si>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</si>
  <si>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</si>
  <si>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</si>
  <si>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</si>
  <si>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</si>
  <si>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</si>
  <si>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</si>
  <si>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</si>
  <si>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</si>
  <si>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</si>
  <si>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</si>
  <si>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</si>
  <si>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</si>
  <si>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</si>
  <si>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</si>
  <si>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</si>
  <si>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</si>
  <si>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</si>
  <si>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</si>
  <si>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</si>
  <si>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</si>
  <si>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</si>
  <si>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</si>
  <si>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</si>
  <si>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</si>
  <si>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</si>
  <si>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</si>
  <si>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</si>
  <si>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</si>
  <si>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</si>
  <si>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</si>
  <si>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</si>
  <si>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</si>
  <si>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</si>
  <si>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</si>
  <si>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</si>
  <si>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</si>
  <si>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</si>
  <si>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</si>
  <si>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</si>
  <si>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</si>
  <si>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</si>
  <si>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</si>
  <si>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</si>
  <si>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</si>
  <si>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</si>
  <si>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</si>
  <si>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</si>
  <si>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</si>
  <si>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</si>
  <si>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</si>
  <si>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</si>
  <si>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</si>
  <si>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</si>
  <si>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</si>
  <si>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</si>
  <si>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</si>
  <si>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</si>
  <si>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</si>
  <si>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</si>
  <si>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</si>
  <si>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</si>
  <si>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</si>
  <si>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</si>
  <si>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</si>
  <si>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</si>
  <si>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</si>
  <si>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</si>
  <si>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</si>
  <si>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</si>
  <si>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</si>
  <si>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</si>
  <si>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</si>
  <si>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</si>
  <si>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</si>
  <si>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</si>
  <si>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</si>
  <si>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</si>
  <si>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</si>
  <si>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</si>
  <si>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</si>
  <si>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</si>
  <si>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</si>
  <si>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</si>
  <si>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</si>
  <si>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</si>
  <si>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</si>
  <si>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</si>
  <si>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</si>
  <si>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</si>
  <si>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</si>
  <si>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</si>
  <si>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</si>
  <si>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</si>
  <si>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</si>
  <si>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</si>
  <si>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</si>
  <si>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</si>
  <si>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</si>
  <si>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</si>
  <si>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</si>
  <si>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</si>
  <si>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</si>
  <si>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</si>
  <si>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</si>
  <si>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</si>
  <si>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</si>
  <si>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</si>
  <si>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</si>
  <si>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</si>
  <si>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</si>
  <si>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</si>
  <si>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</si>
  <si>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</si>
  <si>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</si>
  <si>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</si>
  <si>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</si>
  <si>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</si>
  <si>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</si>
  <si>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</si>
  <si>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</si>
  <si>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</si>
  <si>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</si>
  <si>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</si>
  <si>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</si>
  <si>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</si>
  <si>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</si>
  <si>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</si>
  <si>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</si>
  <si>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</si>
  <si>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</si>
  <si>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</si>
  <si>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</si>
  <si>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</si>
  <si>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</si>
  <si>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</si>
  <si>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</si>
  <si>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</si>
  <si>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</si>
  <si>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</si>
  <si>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</si>
  <si>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</si>
  <si>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</si>
  <si>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</si>
  <si>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</si>
  <si>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</si>
  <si>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</si>
  <si>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</si>
  <si>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</si>
  <si>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</si>
  <si>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</si>
  <si>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</si>
  <si>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</si>
  <si>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</si>
  <si>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</si>
  <si>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</si>
  <si>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</si>
  <si>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</si>
  <si>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</si>
  <si>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</si>
  <si>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</si>
  <si>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</si>
  <si>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</si>
  <si>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</si>
  <si>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</si>
  <si>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</si>
  <si>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</si>
  <si>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</si>
  <si>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</si>
  <si>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</si>
  <si>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</si>
  <si>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</si>
  <si>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</si>
  <si>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</si>
  <si>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</si>
  <si>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</si>
  <si>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</si>
  <si>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</si>
  <si>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</si>
  <si>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</si>
  <si>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</si>
  <si>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</si>
  <si>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</si>
  <si>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</si>
  <si>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</si>
  <si>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</si>
  <si>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</si>
  <si>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</si>
  <si>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</si>
  <si>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</si>
  <si>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</si>
  <si>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</si>
  <si>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</si>
  <si>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</si>
  <si>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</si>
  <si>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</si>
  <si>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</si>
  <si>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</si>
  <si>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</si>
  <si>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</si>
  <si>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</si>
  <si>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</si>
  <si>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</si>
  <si>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</si>
  <si>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</si>
  <si>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</si>
  <si>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</si>
  <si>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</si>
  <si>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</si>
  <si>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</si>
  <si>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</si>
  <si>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</si>
  <si>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</si>
  <si>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</si>
  <si>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</si>
  <si>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</si>
  <si>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</si>
  <si>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</si>
  <si>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</si>
  <si>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</si>
  <si>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</si>
  <si>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</si>
  <si>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</si>
  <si>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</si>
  <si>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</si>
  <si>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</si>
  <si>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</si>
  <si>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</si>
  <si>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</si>
  <si>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</si>
  <si>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</si>
  <si>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</si>
  <si>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</si>
  <si>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</si>
  <si>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</si>
  <si>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</si>
  <si>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</si>
  <si>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</si>
  <si>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</si>
  <si>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</si>
  <si>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</si>
  <si>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</si>
  <si>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</si>
  <si>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</si>
  <si>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</si>
  <si>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</si>
  <si>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</si>
  <si>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</si>
  <si>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</si>
  <si>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</si>
  <si>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</si>
  <si>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</si>
  <si>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</si>
  <si>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</si>
  <si>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</si>
  <si>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</si>
  <si>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</si>
  <si>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</si>
  <si>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</si>
  <si>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</si>
  <si>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</si>
  <si>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</si>
  <si>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</si>
  <si>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</si>
  <si>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</si>
  <si>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</si>
  <si>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</si>
  <si>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</si>
  <si>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</si>
  <si>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</si>
  <si>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</si>
  <si>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</si>
  <si>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</si>
  <si>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</si>
  <si>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</si>
  <si>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</si>
  <si>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</si>
  <si>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</si>
  <si>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</si>
  <si>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</si>
  <si>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</si>
  <si>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</si>
  <si>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</si>
  <si>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</si>
  <si>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</si>
  <si>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</si>
  <si>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</si>
  <si>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</si>
  <si>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</si>
  <si>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</si>
  <si>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</si>
  <si>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</si>
  <si>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</si>
  <si>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</si>
  <si>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</si>
  <si>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</si>
  <si>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</si>
  <si>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</si>
  <si>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</si>
  <si>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</si>
  <si>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</si>
  <si>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</si>
  <si>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</si>
  <si>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</si>
  <si>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</si>
  <si>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</si>
  <si>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</si>
  <si>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</si>
  <si>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</si>
  <si>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</si>
  <si>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</si>
  <si>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</si>
  <si>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</si>
  <si>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</si>
  <si>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</si>
  <si>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</si>
  <si>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</si>
  <si>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</si>
  <si>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</si>
  <si>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</si>
  <si>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</si>
  <si>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</si>
  <si>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</si>
  <si>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</si>
  <si>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</si>
  <si>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</si>
  <si>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</si>
  <si>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</si>
  <si>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</si>
  <si>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</si>
  <si>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</si>
  <si>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</si>
  <si>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</si>
  <si>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</si>
  <si>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</si>
  <si>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</si>
  <si>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</si>
  <si>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</si>
  <si>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</si>
  <si>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</si>
  <si>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</si>
  <si>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</si>
  <si>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</si>
  <si>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</si>
  <si>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</si>
  <si>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</si>
  <si>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</si>
  <si>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</si>
  <si>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</si>
  <si>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</si>
  <si>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</si>
  <si>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</si>
  <si>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</si>
  <si>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</si>
  <si>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Afri budiyanto</t>
  </si>
  <si>
    <t>存钱排班</t>
  </si>
  <si>
    <t>27/10未休+0.5</t>
  </si>
  <si>
    <t>Ka</t>
  </si>
  <si>
    <t>Calvin Wong</t>
  </si>
  <si>
    <t>存錢1排班1，9/11未休+1 Sat:23-23:30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</si>
</sst>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0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20"/>
      <color rgb="FF00B0F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vertical="center" wrapText="1"/>
      <protection locked="0"/>
    </xf>
    <xf numFmtId="20" fontId="39" fillId="0" borderId="0" xfId="0" applyNumberFormat="1" applyFont="1" applyAlignment="1" applyProtection="1">
      <alignment horizontal="center" vertical="center" wrapText="1"/>
      <protection locked="0"/>
    </xf>
    <xf numFmtId="20" fontId="39" fillId="0" borderId="0" xfId="0" applyNumberFormat="1" applyFont="1" applyAlignment="1" applyProtection="1">
      <alignment horizontal="center" vertical="center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60" zoomScaleNormal="60" workbookViewId="0">
      <pane xSplit="3" ySplit="1" topLeftCell="X2" activePane="bottomRight" state="frozen"/>
      <selection pane="topRight" activeCell="D1" sqref="D1"/>
      <selection pane="bottomLeft" activeCell="A2" sqref="A2"/>
      <selection pane="bottomRight" activeCell="AR7" sqref="AR7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10308</v>
      </c>
      <c r="B2" s="81" t="s">
        <v>886</v>
      </c>
      <c r="C2" s="92" t="s">
        <v>1132</v>
      </c>
      <c r="D2" s="84">
        <v>0.75</v>
      </c>
      <c r="E2" s="85">
        <v>1</v>
      </c>
      <c r="F2" s="93">
        <f>BA2-BB2</f>
        <v>5.5</v>
      </c>
      <c r="G2" s="84">
        <v>0.75</v>
      </c>
      <c r="H2" s="85">
        <v>0.95833333333333337</v>
      </c>
      <c r="I2" s="93">
        <f>BF2-BG2</f>
        <v>5.0000000000000009</v>
      </c>
      <c r="J2" s="85">
        <v>0.45833333333333331</v>
      </c>
      <c r="K2" s="85">
        <v>1.03125</v>
      </c>
      <c r="L2" s="93">
        <f>BK2-BL2</f>
        <v>12.750000000000002</v>
      </c>
      <c r="M2" s="84">
        <v>0.4375</v>
      </c>
      <c r="N2" s="85">
        <v>1</v>
      </c>
      <c r="O2" s="93">
        <f>BP2-BQ2</f>
        <v>12.5</v>
      </c>
      <c r="P2" s="85">
        <v>0.45833333333333331</v>
      </c>
      <c r="Q2" s="84">
        <v>0.75</v>
      </c>
      <c r="R2" s="93">
        <f>BU2-BV2</f>
        <v>6.5</v>
      </c>
      <c r="S2" s="85">
        <v>0.64583333333333337</v>
      </c>
      <c r="T2" s="85">
        <v>1</v>
      </c>
      <c r="U2" s="93">
        <f>BZ2-CA2</f>
        <v>8</v>
      </c>
      <c r="V2" s="85">
        <v>0.65625</v>
      </c>
      <c r="W2" s="85">
        <v>1</v>
      </c>
      <c r="X2" s="93">
        <f>CE2-CF2</f>
        <v>7.75</v>
      </c>
      <c r="Y2" s="93"/>
      <c r="Z2" s="93"/>
      <c r="AA2" s="93"/>
      <c r="AB2" s="93">
        <f>SUM(F2,I2,L2,O2,R2,U2,X2)</f>
        <v>58</v>
      </c>
      <c r="AC2" s="94"/>
      <c r="AD2" s="78">
        <v>2</v>
      </c>
      <c r="AE2" s="95">
        <f t="shared" ref="AE2:AE40" si="1">SUMIF($BC$1:$CI$1,AE$1,$BC2:$CI2)+AD2</f>
        <v>36.5</v>
      </c>
      <c r="AF2" s="77"/>
      <c r="AG2" s="95">
        <f t="shared" ref="AG2:AG40" si="2">SUMIF($BC$1:$CI$1,AG$1,$BC2:$CI2)+AF2</f>
        <v>8</v>
      </c>
      <c r="AH2" s="78"/>
      <c r="AI2" s="95">
        <f t="shared" ref="AI2:AI40" si="3">SUMIF($BC$1:$CI$1,AI$1,$BC2:$CI2)+AH2</f>
        <v>7.75</v>
      </c>
      <c r="AJ2" s="77"/>
      <c r="AK2" s="95">
        <f t="shared" ref="AK2:AK40" si="4">SUMIF($BC$1:$CI$1,AK$1,$BC2:$CI2)+AJ2</f>
        <v>0</v>
      </c>
      <c r="AL2" s="77"/>
      <c r="AM2" s="95">
        <f t="shared" ref="AM2:AM40" si="5">SUMIF($BC$1:$CI$1,AM$1,$BC2:$CI2)+AL2</f>
        <v>7.0000000000000044</v>
      </c>
      <c r="AN2" s="77"/>
      <c r="AO2" s="95">
        <f t="shared" ref="AO2:AO40" si="6">SUMIF($BC$1:$CI$1,AO$1,$BC2:$CI2)+AN2</f>
        <v>0.75</v>
      </c>
      <c r="AP2" s="96">
        <f>CK2</f>
        <v>7</v>
      </c>
      <c r="AQ2" s="77"/>
      <c r="AR2" s="77"/>
      <c r="AS2" s="77"/>
      <c r="AT2" s="44">
        <f>AE2+AG2+AI2+AK2+AM2+AO2+SUM(AQ2:AS2)</f>
        <v>60.000000000000007</v>
      </c>
      <c r="AU2" s="78" t="s">
        <v>1411</v>
      </c>
      <c r="AV2" s="5"/>
      <c r="AW2" s="5"/>
      <c r="AX2" s="5"/>
      <c r="AY2" s="5"/>
      <c r="AZ2" s="24">
        <f>VLOOKUP(C2,Employees!D:I,6,FALSE)</f>
        <v>10308</v>
      </c>
      <c r="BA2" s="5">
        <f>IF(ISBLANK(D2),0,(E2-D2)*24)</f>
        <v>6</v>
      </c>
      <c r="BB2" s="5">
        <f>IF(BA2&gt;$AY$1,1,IF(BA2&gt;=$AX$1,0.5,0))</f>
        <v>0.5</v>
      </c>
      <c r="BC2" s="5">
        <f>BA2-BB2-BD2-BE2</f>
        <v>3.4999999999999991</v>
      </c>
      <c r="BD2" s="5">
        <f>IF(AND(E2&gt;$AV$1, D2&lt;$AW$1),(MIN(E2,$AW$1)-MAX(D2,$AV$1))*24,0)</f>
        <v>2.0000000000000009</v>
      </c>
      <c r="BE2" s="5">
        <f>IF(E2&gt;$AW$1,(E2-MAX(D2,$AW$1))*24,0)</f>
        <v>0</v>
      </c>
      <c r="BF2" s="5">
        <f t="shared" ref="BF2" si="7">IF(ISBLANK(G2),0,(H2-G2)*24)</f>
        <v>5.0000000000000009</v>
      </c>
      <c r="BG2" s="5">
        <f>IF(BF2&gt;$AY$1,1,IF(BF2&gt;=$AX$1,0.5,0))</f>
        <v>0</v>
      </c>
      <c r="BH2" s="5">
        <f>BF2-BG2-BI2-BJ2</f>
        <v>3.9999999999999991</v>
      </c>
      <c r="BI2" s="5">
        <f>IF(AND(H2&gt;$AV$1,G2&lt;$AW$1),(MIN(H2,$AW$1)-MAX(G2,$AV$1))*24,0)</f>
        <v>1.0000000000000018</v>
      </c>
      <c r="BJ2" s="5">
        <f>IF(H2&gt;$AW$1,(H2-MAX(G2,$AW$1))*24,0)</f>
        <v>0</v>
      </c>
      <c r="BK2" s="5">
        <f t="shared" ref="BK2" si="8">IF(ISBLANK(J2),0,(K2-J2)*24)</f>
        <v>13.750000000000002</v>
      </c>
      <c r="BL2" s="5">
        <f>IF(BK2&gt;$AY$1,1,IF(BK2&gt;=$AX$1,0.5,0))</f>
        <v>1</v>
      </c>
      <c r="BM2" s="5">
        <f>BK2-BL2-BN2-BO2</f>
        <v>10</v>
      </c>
      <c r="BN2" s="5">
        <f>IF(AND(K2&gt;$AV$1, J2&lt;$AW$1),(MIN(K2,$AW$1)-MAX(J2,$AV$1))*24,0)</f>
        <v>2.0000000000000009</v>
      </c>
      <c r="BO2" s="5">
        <f>IF(K2&gt;$AW$1,(K2-MAX(J2,$AW$1))*24,0)</f>
        <v>0.75</v>
      </c>
      <c r="BP2" s="5">
        <f t="shared" ref="BP2" si="9">IF(ISBLANK(M2),0,(N2-M2)*24)</f>
        <v>13.5</v>
      </c>
      <c r="BQ2" s="5">
        <f>IF(BP2&gt;$AY$1,1,IF(BP2&gt;=$AX$1,0.5,0))</f>
        <v>1</v>
      </c>
      <c r="BR2" s="5">
        <f>BP2-BQ2-BS2-BT2</f>
        <v>10.5</v>
      </c>
      <c r="BS2" s="5">
        <f>IF(AND(N2&gt;$AV$1, M2&lt;$AW$1),(MIN(N2,$AW$1)-MAX(M2,$AV$1))*24,0)</f>
        <v>2.0000000000000009</v>
      </c>
      <c r="BT2" s="5">
        <f>IF(N2&gt;$AW$1,(N2-MAX(M2,$AW$1))*24,0)</f>
        <v>0</v>
      </c>
      <c r="BU2" s="5">
        <f t="shared" ref="BU2" si="10">IF(ISBLANK(P2),0,(Q2-P2)*24)</f>
        <v>7</v>
      </c>
      <c r="BV2" s="5">
        <f>IF(BU2&gt;$AY$1,1,IF(BU2&gt;=$AX$1,0.5,0))</f>
        <v>0.5</v>
      </c>
      <c r="BW2" s="5">
        <f>BU2-BV2-BX2-BY2</f>
        <v>6.5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8.5</v>
      </c>
      <c r="CA2" s="5">
        <f>IF(BZ2&gt;$AY$1,1,IF(BZ2&gt;=$AX$1,0.5,0))</f>
        <v>0.5</v>
      </c>
      <c r="CB2" s="5">
        <f>BZ2-CA2-CC2-CD2</f>
        <v>5.9999999999999991</v>
      </c>
      <c r="CC2" s="5">
        <f>IF(AND(T2&gt;$AV$1, S2&lt;$AW$1),(MIN(T2,$AW$1)-MAX(S2,$AV$1))*24,0)</f>
        <v>2.0000000000000009</v>
      </c>
      <c r="CD2" s="5">
        <f>IF(T2&gt;$AW$1,(T2-MAX(S2,$AW$1))*24,0)</f>
        <v>0</v>
      </c>
      <c r="CE2" s="5">
        <f t="shared" ref="CE2" si="13">IF(ISBLANK(V2),0,(W2-V2)*24)</f>
        <v>8.25</v>
      </c>
      <c r="CF2" s="5">
        <f>IF(CE2&gt;$AY$1,1,IF(CE2&gt;=$AX$1,0.5,0))</f>
        <v>0.5</v>
      </c>
      <c r="CG2" s="5">
        <f>CE2-CF2-CH2-CI2</f>
        <v>5.7499999999999991</v>
      </c>
      <c r="CH2" s="5">
        <f>IF(AND(W2&gt;$AV$1, V2&lt;$AW$1),(MIN(W2,$AW$1)-MAX(V2,$AV$1))*24,0)</f>
        <v>2.0000000000000009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7</v>
      </c>
    </row>
    <row r="3" spans="1:89" ht="38" customHeight="1">
      <c r="A3" s="74">
        <f t="shared" si="0"/>
        <v>10298</v>
      </c>
      <c r="B3" s="81" t="s">
        <v>886</v>
      </c>
      <c r="C3" s="92" t="s">
        <v>838</v>
      </c>
      <c r="D3" s="84">
        <v>0.4375</v>
      </c>
      <c r="E3" s="85">
        <v>0.875</v>
      </c>
      <c r="F3" s="93">
        <f t="shared" ref="F3:F69" si="15">BA3-BB3</f>
        <v>9.5</v>
      </c>
      <c r="G3" s="84">
        <v>0.4375</v>
      </c>
      <c r="H3" s="85">
        <v>0.875</v>
      </c>
      <c r="I3" s="93">
        <f t="shared" ref="I3:I69" si="16">BF3-BG3</f>
        <v>9.5</v>
      </c>
      <c r="J3" s="85"/>
      <c r="K3" s="85"/>
      <c r="L3" s="93">
        <f t="shared" ref="L3:L69" si="17">BK3-BL3</f>
        <v>0</v>
      </c>
      <c r="M3" s="85"/>
      <c r="N3" s="84"/>
      <c r="O3" s="93">
        <f t="shared" ref="O3:O69" si="18">BP3-BQ3</f>
        <v>0</v>
      </c>
      <c r="P3" s="84"/>
      <c r="Q3" s="85"/>
      <c r="R3" s="93">
        <f t="shared" ref="R3:R69" si="19">BU3-BV3</f>
        <v>0</v>
      </c>
      <c r="S3" s="85"/>
      <c r="T3" s="85"/>
      <c r="U3" s="93">
        <f t="shared" ref="U3:U69" si="20">BZ3-CA3</f>
        <v>0</v>
      </c>
      <c r="V3" s="85"/>
      <c r="W3" s="85"/>
      <c r="X3" s="93">
        <f t="shared" ref="X3:X69" si="21">CE3-CF3</f>
        <v>0</v>
      </c>
      <c r="Y3" s="93"/>
      <c r="Z3" s="93"/>
      <c r="AA3" s="93"/>
      <c r="AB3" s="93">
        <f t="shared" ref="AB3:AB69" si="22">SUM(F3,I3,L3,O3,R3,U3,X3)</f>
        <v>19</v>
      </c>
      <c r="AC3" s="94"/>
      <c r="AD3" s="78"/>
      <c r="AE3" s="95">
        <f t="shared" si="1"/>
        <v>19</v>
      </c>
      <c r="AF3" s="77"/>
      <c r="AG3" s="95">
        <f t="shared" si="2"/>
        <v>0</v>
      </c>
      <c r="AH3" s="78"/>
      <c r="AI3" s="95">
        <f t="shared" si="3"/>
        <v>0</v>
      </c>
      <c r="AJ3" s="77"/>
      <c r="AK3" s="95">
        <f t="shared" si="4"/>
        <v>0</v>
      </c>
      <c r="AL3" s="77"/>
      <c r="AM3" s="95">
        <f t="shared" si="5"/>
        <v>0</v>
      </c>
      <c r="AN3" s="77"/>
      <c r="AO3" s="95">
        <f t="shared" si="6"/>
        <v>0</v>
      </c>
      <c r="AP3" s="96">
        <f t="shared" ref="AP3:AP69" si="23">CK3</f>
        <v>2</v>
      </c>
      <c r="AQ3" s="77">
        <v>0.5</v>
      </c>
      <c r="AR3" s="77"/>
      <c r="AS3" s="77"/>
      <c r="AT3" s="44">
        <f t="shared" ref="AT3:AT69" si="24">AE3+AG3+AI3+AK3+AM3+AO3+SUM(AQ3:AS3)</f>
        <v>19.5</v>
      </c>
      <c r="AU3" s="78" t="s">
        <v>1412</v>
      </c>
      <c r="AV3" s="5"/>
      <c r="AW3" s="5"/>
      <c r="AX3" s="5"/>
      <c r="AY3" s="5"/>
      <c r="AZ3" s="24">
        <f>VLOOKUP(C3,Employees!D:I,6,FALSE)</f>
        <v>10298</v>
      </c>
      <c r="BA3" s="5">
        <f t="shared" ref="BA3:BA66" si="25">IF(ISBLANK(D3),0,(E3-D3)*24)</f>
        <v>10.5</v>
      </c>
      <c r="BB3" s="5">
        <f t="shared" ref="BB3:BB66" si="26">IF(BA3&gt;$AY$1,1,IF(BA3&gt;=$AX$1,0.5,0))</f>
        <v>1</v>
      </c>
      <c r="BC3" s="5">
        <f t="shared" ref="BC3:BC66" si="27">BA3-BB3-BD3-BE3</f>
        <v>9.5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10.5</v>
      </c>
      <c r="BG3" s="5">
        <f t="shared" ref="BG3:BG66" si="30">IF(BF3&gt;$AY$1,1,IF(BF3&gt;=$AX$1,0.5,0))</f>
        <v>1</v>
      </c>
      <c r="BH3" s="5">
        <f t="shared" ref="BH3:BH66" si="31">BF3-BG3-BI3-BJ3</f>
        <v>9.5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2</v>
      </c>
    </row>
    <row r="4" spans="1:89" ht="38" customHeight="1">
      <c r="A4" s="74" t="str">
        <f t="shared" si="0"/>
        <v/>
      </c>
      <c r="B4" s="81"/>
      <c r="C4" s="98"/>
      <c r="D4" s="85"/>
      <c r="E4" s="85"/>
      <c r="F4" s="93">
        <f t="shared" si="15"/>
        <v>0</v>
      </c>
      <c r="G4" s="100"/>
      <c r="H4" s="100"/>
      <c r="I4" s="93">
        <f t="shared" si="16"/>
        <v>0</v>
      </c>
      <c r="J4" s="85"/>
      <c r="K4" s="85"/>
      <c r="L4" s="93">
        <f t="shared" si="17"/>
        <v>0</v>
      </c>
      <c r="M4" s="85"/>
      <c r="N4" s="85"/>
      <c r="O4" s="93">
        <f t="shared" si="18"/>
        <v>0</v>
      </c>
      <c r="P4" s="85"/>
      <c r="Q4" s="85"/>
      <c r="R4" s="93">
        <f t="shared" si="19"/>
        <v>0</v>
      </c>
      <c r="S4" s="85"/>
      <c r="T4" s="85"/>
      <c r="U4" s="93">
        <f t="shared" si="20"/>
        <v>0</v>
      </c>
      <c r="V4" s="85"/>
      <c r="W4" s="85"/>
      <c r="X4" s="93">
        <f t="shared" si="21"/>
        <v>0</v>
      </c>
      <c r="Y4" s="93"/>
      <c r="Z4" s="93"/>
      <c r="AA4" s="93"/>
      <c r="AB4" s="93">
        <f t="shared" si="22"/>
        <v>0</v>
      </c>
      <c r="AC4" s="94"/>
      <c r="AD4" s="78"/>
      <c r="AE4" s="95">
        <f t="shared" si="1"/>
        <v>0</v>
      </c>
      <c r="AF4" s="77"/>
      <c r="AG4" s="95">
        <f t="shared" si="2"/>
        <v>0</v>
      </c>
      <c r="AH4" s="78"/>
      <c r="AI4" s="95">
        <f t="shared" si="3"/>
        <v>0</v>
      </c>
      <c r="AJ4" s="77"/>
      <c r="AK4" s="95">
        <f t="shared" si="4"/>
        <v>0</v>
      </c>
      <c r="AL4" s="77"/>
      <c r="AM4" s="95">
        <f t="shared" si="5"/>
        <v>0</v>
      </c>
      <c r="AN4" s="77"/>
      <c r="AO4" s="95">
        <f t="shared" si="6"/>
        <v>0</v>
      </c>
      <c r="AP4" s="96">
        <f t="shared" si="23"/>
        <v>0</v>
      </c>
      <c r="AQ4" s="77"/>
      <c r="AR4" s="77"/>
      <c r="AS4" s="77"/>
      <c r="AT4" s="44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0</v>
      </c>
    </row>
    <row r="5" spans="1:89" ht="38" customHeight="1">
      <c r="A5" s="74" t="str">
        <f t="shared" si="0"/>
        <v/>
      </c>
      <c r="B5" s="81"/>
      <c r="C5" s="98"/>
      <c r="D5" s="85"/>
      <c r="E5" s="85"/>
      <c r="F5" s="93">
        <f t="shared" si="15"/>
        <v>0</v>
      </c>
      <c r="G5" s="85"/>
      <c r="H5" s="85"/>
      <c r="I5" s="93">
        <f t="shared" si="16"/>
        <v>0</v>
      </c>
      <c r="J5" s="85"/>
      <c r="K5" s="85"/>
      <c r="L5" s="93">
        <f t="shared" si="17"/>
        <v>0</v>
      </c>
      <c r="M5" s="99"/>
      <c r="N5" s="100"/>
      <c r="O5" s="93">
        <f t="shared" si="18"/>
        <v>0</v>
      </c>
      <c r="P5" s="99"/>
      <c r="Q5" s="100"/>
      <c r="R5" s="93">
        <f t="shared" si="19"/>
        <v>0</v>
      </c>
      <c r="S5" s="85"/>
      <c r="T5" s="85"/>
      <c r="U5" s="93">
        <f t="shared" si="20"/>
        <v>0</v>
      </c>
      <c r="V5" s="85"/>
      <c r="W5" s="85"/>
      <c r="X5" s="93">
        <f t="shared" si="21"/>
        <v>0</v>
      </c>
      <c r="Y5" s="93"/>
      <c r="Z5" s="93"/>
      <c r="AA5" s="93"/>
      <c r="AB5" s="93">
        <f t="shared" si="22"/>
        <v>0</v>
      </c>
      <c r="AC5" s="94"/>
      <c r="AD5" s="78"/>
      <c r="AE5" s="95">
        <f t="shared" si="1"/>
        <v>0</v>
      </c>
      <c r="AF5" s="77"/>
      <c r="AG5" s="95">
        <f t="shared" si="2"/>
        <v>0</v>
      </c>
      <c r="AH5" s="78"/>
      <c r="AI5" s="95">
        <f t="shared" si="3"/>
        <v>0</v>
      </c>
      <c r="AJ5" s="77"/>
      <c r="AK5" s="95">
        <f t="shared" si="4"/>
        <v>0</v>
      </c>
      <c r="AL5" s="77"/>
      <c r="AM5" s="95">
        <f t="shared" si="5"/>
        <v>0</v>
      </c>
      <c r="AN5" s="77"/>
      <c r="AO5" s="95">
        <f t="shared" si="6"/>
        <v>0</v>
      </c>
      <c r="AP5" s="96">
        <f t="shared" si="23"/>
        <v>0</v>
      </c>
      <c r="AQ5" s="77"/>
      <c r="AR5" s="77"/>
      <c r="AS5" s="77"/>
      <c r="AT5" s="44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4">
        <f t="shared" si="0"/>
        <v>10301</v>
      </c>
      <c r="B6" s="81" t="s">
        <v>886</v>
      </c>
      <c r="C6" s="86" t="s">
        <v>1410</v>
      </c>
      <c r="D6" s="85"/>
      <c r="E6" s="85"/>
      <c r="F6" s="93">
        <f t="shared" si="15"/>
        <v>0</v>
      </c>
      <c r="G6" s="85"/>
      <c r="H6" s="85"/>
      <c r="I6" s="93">
        <f t="shared" si="16"/>
        <v>0</v>
      </c>
      <c r="J6" s="85"/>
      <c r="K6" s="85"/>
      <c r="L6" s="93">
        <f t="shared" si="17"/>
        <v>0</v>
      </c>
      <c r="M6" s="85"/>
      <c r="N6" s="85"/>
      <c r="O6" s="93">
        <f t="shared" si="18"/>
        <v>0</v>
      </c>
      <c r="P6" s="84">
        <v>0.75</v>
      </c>
      <c r="Q6" s="85">
        <v>0.95833333333333337</v>
      </c>
      <c r="R6" s="93">
        <f t="shared" si="19"/>
        <v>5.0000000000000009</v>
      </c>
      <c r="S6" s="85"/>
      <c r="T6" s="85"/>
      <c r="U6" s="93">
        <f t="shared" si="20"/>
        <v>0</v>
      </c>
      <c r="V6" s="85"/>
      <c r="W6" s="85"/>
      <c r="X6" s="93">
        <f t="shared" si="21"/>
        <v>0</v>
      </c>
      <c r="Y6" s="93"/>
      <c r="Z6" s="93"/>
      <c r="AA6" s="93"/>
      <c r="AB6" s="93">
        <f t="shared" si="22"/>
        <v>5.0000000000000009</v>
      </c>
      <c r="AC6" s="94"/>
      <c r="AD6" s="78"/>
      <c r="AE6" s="95">
        <f t="shared" si="1"/>
        <v>3.9999999999999991</v>
      </c>
      <c r="AF6" s="77"/>
      <c r="AG6" s="95">
        <f t="shared" si="2"/>
        <v>0</v>
      </c>
      <c r="AH6" s="78"/>
      <c r="AI6" s="95">
        <f t="shared" si="3"/>
        <v>0</v>
      </c>
      <c r="AJ6" s="77"/>
      <c r="AK6" s="95">
        <f t="shared" si="4"/>
        <v>0</v>
      </c>
      <c r="AL6" s="77"/>
      <c r="AM6" s="95">
        <f t="shared" si="5"/>
        <v>1.0000000000000018</v>
      </c>
      <c r="AN6" s="77"/>
      <c r="AO6" s="95">
        <f t="shared" si="6"/>
        <v>0</v>
      </c>
      <c r="AP6" s="96">
        <f t="shared" si="23"/>
        <v>1</v>
      </c>
      <c r="AQ6" s="77"/>
      <c r="AR6" s="77">
        <v>24</v>
      </c>
      <c r="AS6" s="77"/>
      <c r="AT6" s="44">
        <f t="shared" si="24"/>
        <v>29</v>
      </c>
      <c r="AU6" s="78"/>
      <c r="AV6" s="5"/>
      <c r="AW6" s="5"/>
      <c r="AX6" s="5"/>
      <c r="AY6" s="5"/>
      <c r="AZ6" s="24">
        <f>VLOOKUP(C6,Employees!D:I,6,FALSE)</f>
        <v>10301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5.0000000000000009</v>
      </c>
      <c r="BV6" s="5">
        <f t="shared" si="45"/>
        <v>0</v>
      </c>
      <c r="BW6" s="5">
        <f t="shared" si="46"/>
        <v>3.9999999999999991</v>
      </c>
      <c r="BX6" s="5">
        <f t="shared" si="47"/>
        <v>1.0000000000000018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1</v>
      </c>
    </row>
    <row r="7" spans="1:89" ht="38" customHeight="1">
      <c r="A7" s="74">
        <f t="shared" si="0"/>
        <v>10417</v>
      </c>
      <c r="B7" s="81" t="s">
        <v>886</v>
      </c>
      <c r="C7" s="86" t="s">
        <v>1147</v>
      </c>
      <c r="D7" s="84"/>
      <c r="E7" s="85"/>
      <c r="F7" s="93">
        <f t="shared" si="15"/>
        <v>0</v>
      </c>
      <c r="G7" s="85"/>
      <c r="H7" s="85"/>
      <c r="I7" s="93">
        <f t="shared" si="16"/>
        <v>0</v>
      </c>
      <c r="J7" s="85"/>
      <c r="K7" s="85"/>
      <c r="L7" s="93">
        <f t="shared" si="17"/>
        <v>0</v>
      </c>
      <c r="M7" s="84"/>
      <c r="N7" s="85"/>
      <c r="O7" s="93">
        <f t="shared" si="18"/>
        <v>0</v>
      </c>
      <c r="P7" s="84">
        <v>0.82638888888888884</v>
      </c>
      <c r="Q7" s="85">
        <v>0.95833333333333337</v>
      </c>
      <c r="R7" s="93">
        <f t="shared" si="19"/>
        <v>3.1666666666666687</v>
      </c>
      <c r="S7" s="84">
        <v>0.4375</v>
      </c>
      <c r="T7" s="85">
        <v>0.64583333333333337</v>
      </c>
      <c r="U7" s="93">
        <f t="shared" si="20"/>
        <v>5.0000000000000009</v>
      </c>
      <c r="V7" s="84">
        <v>0.45833333333333331</v>
      </c>
      <c r="W7" s="85">
        <v>0.65625</v>
      </c>
      <c r="X7" s="93">
        <f t="shared" si="21"/>
        <v>4.75</v>
      </c>
      <c r="Y7" s="93"/>
      <c r="Z7" s="93"/>
      <c r="AA7" s="93"/>
      <c r="AB7" s="93">
        <f t="shared" si="22"/>
        <v>12.91666666666667</v>
      </c>
      <c r="AC7" s="94"/>
      <c r="AD7" s="78"/>
      <c r="AE7" s="95">
        <f t="shared" si="1"/>
        <v>2.166666666666667</v>
      </c>
      <c r="AF7" s="77"/>
      <c r="AG7" s="95">
        <f t="shared" si="2"/>
        <v>5.0000000000000009</v>
      </c>
      <c r="AH7" s="77"/>
      <c r="AI7" s="95">
        <f t="shared" si="3"/>
        <v>4.75</v>
      </c>
      <c r="AJ7" s="77"/>
      <c r="AK7" s="95">
        <f t="shared" si="4"/>
        <v>0</v>
      </c>
      <c r="AL7" s="77"/>
      <c r="AM7" s="95">
        <f t="shared" si="5"/>
        <v>1.0000000000000018</v>
      </c>
      <c r="AN7" s="77"/>
      <c r="AO7" s="95">
        <f t="shared" si="6"/>
        <v>0</v>
      </c>
      <c r="AP7" s="96">
        <f t="shared" si="23"/>
        <v>3</v>
      </c>
      <c r="AQ7" s="77"/>
      <c r="AR7" s="77">
        <v>11.08</v>
      </c>
      <c r="AS7" s="77"/>
      <c r="AT7" s="44">
        <f t="shared" si="24"/>
        <v>23.99666666666667</v>
      </c>
      <c r="AU7" s="78"/>
      <c r="AV7" s="5"/>
      <c r="AW7" s="5"/>
      <c r="AX7" s="5"/>
      <c r="AY7" s="5"/>
      <c r="AZ7" s="24">
        <f>VLOOKUP(C7,Employees!D:I,6,FALSE)</f>
        <v>10417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3.1666666666666687</v>
      </c>
      <c r="BV7" s="5">
        <f t="shared" si="45"/>
        <v>0</v>
      </c>
      <c r="BW7" s="5">
        <f t="shared" si="46"/>
        <v>2.166666666666667</v>
      </c>
      <c r="BX7" s="5">
        <f t="shared" si="47"/>
        <v>1.0000000000000018</v>
      </c>
      <c r="BY7" s="5">
        <f t="shared" si="11"/>
        <v>0</v>
      </c>
      <c r="BZ7" s="5">
        <f t="shared" si="48"/>
        <v>5.0000000000000009</v>
      </c>
      <c r="CA7" s="5">
        <f t="shared" si="49"/>
        <v>0</v>
      </c>
      <c r="CB7" s="5">
        <f t="shared" si="50"/>
        <v>5.0000000000000009</v>
      </c>
      <c r="CC7" s="5">
        <f t="shared" si="51"/>
        <v>0</v>
      </c>
      <c r="CD7" s="5">
        <f t="shared" si="52"/>
        <v>0</v>
      </c>
      <c r="CE7" s="5">
        <f t="shared" si="53"/>
        <v>4.75</v>
      </c>
      <c r="CF7" s="5">
        <f t="shared" si="54"/>
        <v>0</v>
      </c>
      <c r="CG7" s="5">
        <f t="shared" si="55"/>
        <v>4.75</v>
      </c>
      <c r="CH7" s="5">
        <f t="shared" si="56"/>
        <v>0</v>
      </c>
      <c r="CI7" s="5">
        <f t="shared" si="57"/>
        <v>0</v>
      </c>
      <c r="CJ7" s="5"/>
      <c r="CK7" s="4">
        <f t="shared" si="14"/>
        <v>3</v>
      </c>
    </row>
    <row r="8" spans="1:89" ht="38" customHeight="1">
      <c r="A8" s="74" t="str">
        <f t="shared" si="0"/>
        <v/>
      </c>
      <c r="B8" s="81"/>
      <c r="C8" s="86"/>
      <c r="D8" s="84"/>
      <c r="E8" s="85"/>
      <c r="F8" s="93">
        <f t="shared" si="15"/>
        <v>0</v>
      </c>
      <c r="G8" s="85"/>
      <c r="H8" s="85"/>
      <c r="I8" s="93">
        <f t="shared" si="16"/>
        <v>0</v>
      </c>
      <c r="J8" s="84"/>
      <c r="K8" s="85"/>
      <c r="L8" s="93">
        <f t="shared" si="17"/>
        <v>0</v>
      </c>
      <c r="M8" s="85"/>
      <c r="N8" s="85"/>
      <c r="O8" s="93">
        <f t="shared" si="18"/>
        <v>0</v>
      </c>
      <c r="P8" s="84"/>
      <c r="Q8" s="85"/>
      <c r="R8" s="93">
        <f t="shared" si="19"/>
        <v>0</v>
      </c>
      <c r="S8" s="84"/>
      <c r="T8" s="85"/>
      <c r="U8" s="93">
        <f t="shared" si="20"/>
        <v>0</v>
      </c>
      <c r="V8" s="85"/>
      <c r="W8" s="85"/>
      <c r="X8" s="93">
        <f t="shared" si="21"/>
        <v>0</v>
      </c>
      <c r="Y8" s="93"/>
      <c r="Z8" s="93"/>
      <c r="AA8" s="93"/>
      <c r="AB8" s="93">
        <f t="shared" si="22"/>
        <v>0</v>
      </c>
      <c r="AC8" s="94"/>
      <c r="AD8" s="78"/>
      <c r="AE8" s="95">
        <f t="shared" si="1"/>
        <v>0</v>
      </c>
      <c r="AF8" s="77"/>
      <c r="AG8" s="95">
        <f t="shared" si="2"/>
        <v>0</v>
      </c>
      <c r="AH8" s="77"/>
      <c r="AI8" s="95">
        <f t="shared" si="3"/>
        <v>0</v>
      </c>
      <c r="AJ8" s="77"/>
      <c r="AK8" s="95">
        <f t="shared" si="4"/>
        <v>0</v>
      </c>
      <c r="AL8" s="77"/>
      <c r="AM8" s="95">
        <f t="shared" si="5"/>
        <v>0</v>
      </c>
      <c r="AN8" s="77"/>
      <c r="AO8" s="95">
        <f t="shared" si="6"/>
        <v>0</v>
      </c>
      <c r="AP8" s="96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81"/>
      <c r="C9" s="86"/>
      <c r="D9" s="85"/>
      <c r="E9" s="85"/>
      <c r="F9" s="93">
        <f t="shared" si="15"/>
        <v>0</v>
      </c>
      <c r="G9" s="85"/>
      <c r="H9" s="85"/>
      <c r="I9" s="93">
        <f t="shared" si="16"/>
        <v>0</v>
      </c>
      <c r="J9" s="85"/>
      <c r="K9" s="85"/>
      <c r="L9" s="93">
        <f t="shared" si="17"/>
        <v>0</v>
      </c>
      <c r="M9" s="84"/>
      <c r="N9" s="85"/>
      <c r="O9" s="93">
        <f t="shared" si="18"/>
        <v>0</v>
      </c>
      <c r="P9" s="85"/>
      <c r="Q9" s="85"/>
      <c r="R9" s="93">
        <f t="shared" si="19"/>
        <v>0</v>
      </c>
      <c r="S9" s="84"/>
      <c r="T9" s="85"/>
      <c r="U9" s="93">
        <f t="shared" si="20"/>
        <v>0</v>
      </c>
      <c r="V9" s="85"/>
      <c r="W9" s="85"/>
      <c r="X9" s="93">
        <f t="shared" si="21"/>
        <v>0</v>
      </c>
      <c r="Y9" s="93"/>
      <c r="Z9" s="93"/>
      <c r="AA9" s="93"/>
      <c r="AB9" s="93">
        <f t="shared" si="22"/>
        <v>0</v>
      </c>
      <c r="AC9" s="94"/>
      <c r="AD9" s="78"/>
      <c r="AE9" s="95">
        <f t="shared" si="1"/>
        <v>0</v>
      </c>
      <c r="AF9" s="77"/>
      <c r="AG9" s="95">
        <f t="shared" si="2"/>
        <v>0</v>
      </c>
      <c r="AH9" s="77"/>
      <c r="AI9" s="95">
        <f t="shared" si="3"/>
        <v>0</v>
      </c>
      <c r="AJ9" s="77"/>
      <c r="AK9" s="95">
        <f t="shared" si="4"/>
        <v>0</v>
      </c>
      <c r="AL9" s="77"/>
      <c r="AM9" s="95">
        <f t="shared" si="5"/>
        <v>0</v>
      </c>
      <c r="AN9" s="77"/>
      <c r="AO9" s="95">
        <f t="shared" si="6"/>
        <v>0</v>
      </c>
      <c r="AP9" s="96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81"/>
      <c r="C10" s="86"/>
      <c r="D10" s="84"/>
      <c r="E10" s="84"/>
      <c r="F10" s="93">
        <f t="shared" si="15"/>
        <v>0</v>
      </c>
      <c r="G10" s="85"/>
      <c r="H10" s="85"/>
      <c r="I10" s="93">
        <f t="shared" si="16"/>
        <v>0</v>
      </c>
      <c r="J10" s="84"/>
      <c r="K10" s="85"/>
      <c r="L10" s="93">
        <f t="shared" si="17"/>
        <v>0</v>
      </c>
      <c r="M10" s="85"/>
      <c r="N10" s="85"/>
      <c r="O10" s="93">
        <f t="shared" si="18"/>
        <v>0</v>
      </c>
      <c r="P10" s="85"/>
      <c r="Q10" s="85"/>
      <c r="R10" s="93">
        <f t="shared" si="19"/>
        <v>0</v>
      </c>
      <c r="S10" s="84"/>
      <c r="T10" s="85"/>
      <c r="U10" s="93">
        <f t="shared" si="20"/>
        <v>0</v>
      </c>
      <c r="V10" s="85"/>
      <c r="W10" s="85"/>
      <c r="X10" s="93">
        <f t="shared" si="21"/>
        <v>0</v>
      </c>
      <c r="Y10" s="93"/>
      <c r="Z10" s="93"/>
      <c r="AA10" s="93"/>
      <c r="AB10" s="93">
        <f t="shared" si="22"/>
        <v>0</v>
      </c>
      <c r="AC10" s="94"/>
      <c r="AD10" s="78"/>
      <c r="AE10" s="95">
        <f t="shared" si="1"/>
        <v>0</v>
      </c>
      <c r="AF10" s="77"/>
      <c r="AG10" s="95">
        <f t="shared" si="2"/>
        <v>0</v>
      </c>
      <c r="AH10" s="77"/>
      <c r="AI10" s="95">
        <f t="shared" si="3"/>
        <v>0</v>
      </c>
      <c r="AJ10" s="77"/>
      <c r="AK10" s="95">
        <f t="shared" si="4"/>
        <v>0</v>
      </c>
      <c r="AL10" s="77"/>
      <c r="AM10" s="95">
        <f t="shared" si="5"/>
        <v>0</v>
      </c>
      <c r="AN10" s="77"/>
      <c r="AO10" s="95">
        <f t="shared" si="6"/>
        <v>0</v>
      </c>
      <c r="AP10" s="96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81"/>
      <c r="C11" s="86"/>
      <c r="D11" s="85"/>
      <c r="E11" s="85"/>
      <c r="F11" s="93">
        <f t="shared" si="15"/>
        <v>0</v>
      </c>
      <c r="G11" s="85"/>
      <c r="H11" s="85"/>
      <c r="I11" s="93">
        <f t="shared" si="16"/>
        <v>0</v>
      </c>
      <c r="J11" s="84"/>
      <c r="K11" s="85"/>
      <c r="L11" s="93">
        <f t="shared" si="17"/>
        <v>0</v>
      </c>
      <c r="M11" s="85"/>
      <c r="N11" s="85"/>
      <c r="O11" s="93">
        <f t="shared" si="18"/>
        <v>0</v>
      </c>
      <c r="P11" s="84"/>
      <c r="Q11" s="85"/>
      <c r="R11" s="93">
        <f t="shared" si="19"/>
        <v>0</v>
      </c>
      <c r="S11" s="75"/>
      <c r="T11" s="75"/>
      <c r="U11" s="93">
        <f t="shared" si="20"/>
        <v>0</v>
      </c>
      <c r="V11" s="84"/>
      <c r="W11" s="85"/>
      <c r="X11" s="93">
        <f t="shared" si="21"/>
        <v>0</v>
      </c>
      <c r="Y11" s="93"/>
      <c r="Z11" s="93"/>
      <c r="AA11" s="93"/>
      <c r="AB11" s="93">
        <f t="shared" si="22"/>
        <v>0</v>
      </c>
      <c r="AC11" s="94"/>
      <c r="AD11" s="78"/>
      <c r="AE11" s="95">
        <f t="shared" si="1"/>
        <v>0</v>
      </c>
      <c r="AF11" s="77"/>
      <c r="AG11" s="95">
        <f t="shared" si="2"/>
        <v>0</v>
      </c>
      <c r="AH11" s="77"/>
      <c r="AI11" s="95">
        <f t="shared" si="3"/>
        <v>0</v>
      </c>
      <c r="AJ11" s="77"/>
      <c r="AK11" s="95">
        <f t="shared" si="4"/>
        <v>0</v>
      </c>
      <c r="AL11" s="77"/>
      <c r="AM11" s="95">
        <f t="shared" si="5"/>
        <v>0</v>
      </c>
      <c r="AN11" s="77"/>
      <c r="AO11" s="95">
        <f t="shared" si="6"/>
        <v>0</v>
      </c>
      <c r="AP11" s="96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3">
        <f t="shared" si="15"/>
        <v>0</v>
      </c>
      <c r="G12" s="85"/>
      <c r="H12" s="85"/>
      <c r="I12" s="93">
        <f t="shared" si="16"/>
        <v>0</v>
      </c>
      <c r="J12" s="76"/>
      <c r="K12" s="75"/>
      <c r="L12" s="93">
        <f t="shared" si="17"/>
        <v>0</v>
      </c>
      <c r="M12" s="85"/>
      <c r="N12" s="85"/>
      <c r="O12" s="93">
        <f t="shared" si="18"/>
        <v>0</v>
      </c>
      <c r="P12" s="75"/>
      <c r="Q12" s="75"/>
      <c r="R12" s="93">
        <f t="shared" si="19"/>
        <v>0</v>
      </c>
      <c r="S12" s="75"/>
      <c r="T12" s="75"/>
      <c r="U12" s="93">
        <f t="shared" si="20"/>
        <v>0</v>
      </c>
      <c r="V12" s="75"/>
      <c r="W12" s="75"/>
      <c r="X12" s="93">
        <f t="shared" si="21"/>
        <v>0</v>
      </c>
      <c r="Y12" s="93"/>
      <c r="Z12" s="93"/>
      <c r="AA12" s="93"/>
      <c r="AB12" s="93">
        <f t="shared" si="22"/>
        <v>0</v>
      </c>
      <c r="AC12" s="94"/>
      <c r="AD12" s="78"/>
      <c r="AE12" s="95">
        <f t="shared" si="1"/>
        <v>0</v>
      </c>
      <c r="AF12" s="77"/>
      <c r="AG12" s="95">
        <f t="shared" si="2"/>
        <v>0</v>
      </c>
      <c r="AH12" s="77"/>
      <c r="AI12" s="95">
        <f t="shared" si="3"/>
        <v>0</v>
      </c>
      <c r="AJ12" s="77"/>
      <c r="AK12" s="95">
        <f t="shared" si="4"/>
        <v>0</v>
      </c>
      <c r="AL12" s="77"/>
      <c r="AM12" s="95">
        <f t="shared" si="5"/>
        <v>0</v>
      </c>
      <c r="AN12" s="77"/>
      <c r="AO12" s="95">
        <f t="shared" si="6"/>
        <v>0</v>
      </c>
      <c r="AP12" s="96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3">
        <f t="shared" si="15"/>
        <v>0</v>
      </c>
      <c r="G13" s="85"/>
      <c r="H13" s="84"/>
      <c r="I13" s="93">
        <f t="shared" si="16"/>
        <v>0</v>
      </c>
      <c r="J13" s="76"/>
      <c r="K13" s="75"/>
      <c r="L13" s="93">
        <f t="shared" si="17"/>
        <v>0</v>
      </c>
      <c r="M13" s="85"/>
      <c r="N13" s="84"/>
      <c r="O13" s="93">
        <f t="shared" si="18"/>
        <v>0</v>
      </c>
      <c r="P13" s="75"/>
      <c r="Q13" s="75"/>
      <c r="R13" s="93">
        <f t="shared" si="19"/>
        <v>0</v>
      </c>
      <c r="S13" s="75"/>
      <c r="T13" s="75"/>
      <c r="U13" s="93">
        <f t="shared" si="20"/>
        <v>0</v>
      </c>
      <c r="V13" s="75"/>
      <c r="W13" s="75"/>
      <c r="X13" s="93">
        <f t="shared" si="21"/>
        <v>0</v>
      </c>
      <c r="Y13" s="93"/>
      <c r="Z13" s="93"/>
      <c r="AA13" s="93"/>
      <c r="AB13" s="93">
        <f t="shared" si="22"/>
        <v>0</v>
      </c>
      <c r="AC13" s="94"/>
      <c r="AD13" s="78"/>
      <c r="AE13" s="95">
        <f t="shared" si="1"/>
        <v>0</v>
      </c>
      <c r="AF13" s="77"/>
      <c r="AG13" s="95">
        <f t="shared" si="2"/>
        <v>0</v>
      </c>
      <c r="AH13" s="77"/>
      <c r="AI13" s="95">
        <f t="shared" si="3"/>
        <v>0</v>
      </c>
      <c r="AJ13" s="77"/>
      <c r="AK13" s="95">
        <f t="shared" si="4"/>
        <v>0</v>
      </c>
      <c r="AL13" s="77"/>
      <c r="AM13" s="95">
        <f t="shared" si="5"/>
        <v>0</v>
      </c>
      <c r="AN13" s="77"/>
      <c r="AO13" s="95">
        <f t="shared" si="6"/>
        <v>0</v>
      </c>
      <c r="AP13" s="96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3">
        <f t="shared" si="15"/>
        <v>0</v>
      </c>
      <c r="G14" s="85"/>
      <c r="H14" s="85"/>
      <c r="I14" s="93">
        <f t="shared" si="16"/>
        <v>0</v>
      </c>
      <c r="J14" s="76"/>
      <c r="K14" s="75"/>
      <c r="L14" s="93">
        <f t="shared" si="17"/>
        <v>0</v>
      </c>
      <c r="M14" s="75"/>
      <c r="N14" s="75"/>
      <c r="O14" s="93">
        <f t="shared" si="18"/>
        <v>0</v>
      </c>
      <c r="P14" s="75"/>
      <c r="Q14" s="75"/>
      <c r="R14" s="93">
        <f t="shared" si="19"/>
        <v>0</v>
      </c>
      <c r="S14" s="75"/>
      <c r="T14" s="75"/>
      <c r="U14" s="93">
        <f t="shared" si="20"/>
        <v>0</v>
      </c>
      <c r="V14" s="75"/>
      <c r="W14" s="75"/>
      <c r="X14" s="93">
        <f t="shared" si="21"/>
        <v>0</v>
      </c>
      <c r="Y14" s="93"/>
      <c r="Z14" s="93"/>
      <c r="AA14" s="93"/>
      <c r="AB14" s="93">
        <f t="shared" si="22"/>
        <v>0</v>
      </c>
      <c r="AC14" s="94"/>
      <c r="AD14" s="77"/>
      <c r="AE14" s="95">
        <f t="shared" si="1"/>
        <v>0</v>
      </c>
      <c r="AF14" s="77"/>
      <c r="AG14" s="95">
        <f t="shared" si="2"/>
        <v>0</v>
      </c>
      <c r="AH14" s="77"/>
      <c r="AI14" s="95">
        <f t="shared" si="3"/>
        <v>0</v>
      </c>
      <c r="AJ14" s="77"/>
      <c r="AK14" s="95">
        <f t="shared" si="4"/>
        <v>0</v>
      </c>
      <c r="AL14" s="77"/>
      <c r="AM14" s="95">
        <f t="shared" si="5"/>
        <v>0</v>
      </c>
      <c r="AN14" s="77"/>
      <c r="AO14" s="95">
        <f t="shared" si="6"/>
        <v>0</v>
      </c>
      <c r="AP14" s="96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3">
        <f t="shared" si="15"/>
        <v>0</v>
      </c>
      <c r="G15" s="75"/>
      <c r="H15" s="75"/>
      <c r="I15" s="93">
        <f t="shared" si="16"/>
        <v>0</v>
      </c>
      <c r="J15" s="76"/>
      <c r="K15" s="75"/>
      <c r="L15" s="93">
        <f t="shared" si="17"/>
        <v>0</v>
      </c>
      <c r="M15" s="75"/>
      <c r="N15" s="75"/>
      <c r="O15" s="93">
        <f t="shared" si="18"/>
        <v>0</v>
      </c>
      <c r="P15" s="75"/>
      <c r="Q15" s="75"/>
      <c r="R15" s="93">
        <f t="shared" si="19"/>
        <v>0</v>
      </c>
      <c r="S15" s="75"/>
      <c r="T15" s="75"/>
      <c r="U15" s="93">
        <f t="shared" si="20"/>
        <v>0</v>
      </c>
      <c r="V15" s="75"/>
      <c r="W15" s="75"/>
      <c r="X15" s="93">
        <f t="shared" si="21"/>
        <v>0</v>
      </c>
      <c r="Y15" s="93"/>
      <c r="Z15" s="93"/>
      <c r="AA15" s="93"/>
      <c r="AB15" s="93">
        <f t="shared" si="22"/>
        <v>0</v>
      </c>
      <c r="AC15" s="94"/>
      <c r="AD15" s="77"/>
      <c r="AE15" s="95">
        <f t="shared" si="1"/>
        <v>0</v>
      </c>
      <c r="AF15" s="77"/>
      <c r="AG15" s="95">
        <f t="shared" si="2"/>
        <v>0</v>
      </c>
      <c r="AH15" s="77"/>
      <c r="AI15" s="95">
        <f t="shared" si="3"/>
        <v>0</v>
      </c>
      <c r="AJ15" s="77"/>
      <c r="AK15" s="95">
        <f t="shared" si="4"/>
        <v>0</v>
      </c>
      <c r="AL15" s="77"/>
      <c r="AM15" s="95">
        <f t="shared" si="5"/>
        <v>0</v>
      </c>
      <c r="AN15" s="77"/>
      <c r="AO15" s="95">
        <f t="shared" si="6"/>
        <v>0</v>
      </c>
      <c r="AP15" s="96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3">
        <f t="shared" si="15"/>
        <v>0</v>
      </c>
      <c r="G16" s="75"/>
      <c r="H16" s="75"/>
      <c r="I16" s="93">
        <f t="shared" si="16"/>
        <v>0</v>
      </c>
      <c r="J16" s="76"/>
      <c r="K16" s="75"/>
      <c r="L16" s="93">
        <f t="shared" si="17"/>
        <v>0</v>
      </c>
      <c r="M16" s="75"/>
      <c r="N16" s="75"/>
      <c r="O16" s="93">
        <f t="shared" si="18"/>
        <v>0</v>
      </c>
      <c r="P16" s="75"/>
      <c r="Q16" s="75"/>
      <c r="R16" s="93">
        <f t="shared" si="19"/>
        <v>0</v>
      </c>
      <c r="S16" s="75"/>
      <c r="T16" s="75"/>
      <c r="U16" s="93">
        <f t="shared" si="20"/>
        <v>0</v>
      </c>
      <c r="V16" s="75"/>
      <c r="W16" s="75"/>
      <c r="X16" s="93">
        <f t="shared" si="21"/>
        <v>0</v>
      </c>
      <c r="Y16" s="93"/>
      <c r="Z16" s="93"/>
      <c r="AA16" s="93"/>
      <c r="AB16" s="93">
        <f t="shared" si="22"/>
        <v>0</v>
      </c>
      <c r="AC16" s="94"/>
      <c r="AD16" s="77"/>
      <c r="AE16" s="95">
        <f t="shared" si="1"/>
        <v>0</v>
      </c>
      <c r="AF16" s="77"/>
      <c r="AG16" s="95">
        <f t="shared" si="2"/>
        <v>0</v>
      </c>
      <c r="AH16" s="77"/>
      <c r="AI16" s="95">
        <f t="shared" si="3"/>
        <v>0</v>
      </c>
      <c r="AJ16" s="77"/>
      <c r="AK16" s="95">
        <f t="shared" si="4"/>
        <v>0</v>
      </c>
      <c r="AL16" s="77"/>
      <c r="AM16" s="95">
        <f t="shared" si="5"/>
        <v>0</v>
      </c>
      <c r="AN16" s="77"/>
      <c r="AO16" s="95">
        <f t="shared" si="6"/>
        <v>0</v>
      </c>
      <c r="AP16" s="96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3">
        <f t="shared" si="15"/>
        <v>0</v>
      </c>
      <c r="G17" s="75"/>
      <c r="H17" s="75"/>
      <c r="I17" s="93">
        <f t="shared" si="16"/>
        <v>0</v>
      </c>
      <c r="J17" s="76"/>
      <c r="K17" s="75"/>
      <c r="L17" s="93">
        <f t="shared" si="17"/>
        <v>0</v>
      </c>
      <c r="M17" s="75"/>
      <c r="N17" s="75"/>
      <c r="O17" s="93">
        <f t="shared" si="18"/>
        <v>0</v>
      </c>
      <c r="P17" s="75"/>
      <c r="Q17" s="75"/>
      <c r="R17" s="93">
        <f t="shared" si="19"/>
        <v>0</v>
      </c>
      <c r="S17" s="75"/>
      <c r="T17" s="75"/>
      <c r="U17" s="93">
        <f t="shared" si="20"/>
        <v>0</v>
      </c>
      <c r="V17" s="75"/>
      <c r="W17" s="75"/>
      <c r="X17" s="93">
        <f t="shared" si="21"/>
        <v>0</v>
      </c>
      <c r="Y17" s="93"/>
      <c r="Z17" s="93"/>
      <c r="AA17" s="93"/>
      <c r="AB17" s="93">
        <f t="shared" si="22"/>
        <v>0</v>
      </c>
      <c r="AC17" s="94"/>
      <c r="AD17" s="77"/>
      <c r="AE17" s="95">
        <f t="shared" si="1"/>
        <v>0</v>
      </c>
      <c r="AF17" s="77"/>
      <c r="AG17" s="95">
        <f t="shared" si="2"/>
        <v>0</v>
      </c>
      <c r="AH17" s="77"/>
      <c r="AI17" s="95">
        <f t="shared" si="3"/>
        <v>0</v>
      </c>
      <c r="AJ17" s="77"/>
      <c r="AK17" s="95">
        <f t="shared" si="4"/>
        <v>0</v>
      </c>
      <c r="AL17" s="77"/>
      <c r="AM17" s="95">
        <f t="shared" si="5"/>
        <v>0</v>
      </c>
      <c r="AN17" s="77"/>
      <c r="AO17" s="95">
        <f t="shared" si="6"/>
        <v>0</v>
      </c>
      <c r="AP17" s="96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3">
        <f t="shared" si="15"/>
        <v>0</v>
      </c>
      <c r="G18" s="75"/>
      <c r="H18" s="75"/>
      <c r="I18" s="93">
        <f t="shared" si="16"/>
        <v>0</v>
      </c>
      <c r="J18" s="76"/>
      <c r="K18" s="75"/>
      <c r="L18" s="93">
        <f t="shared" si="17"/>
        <v>0</v>
      </c>
      <c r="M18" s="75"/>
      <c r="N18" s="75"/>
      <c r="O18" s="93">
        <f t="shared" si="18"/>
        <v>0</v>
      </c>
      <c r="P18" s="75"/>
      <c r="Q18" s="75"/>
      <c r="R18" s="93">
        <f t="shared" si="19"/>
        <v>0</v>
      </c>
      <c r="S18" s="75"/>
      <c r="T18" s="75"/>
      <c r="U18" s="93">
        <f t="shared" si="20"/>
        <v>0</v>
      </c>
      <c r="V18" s="75"/>
      <c r="W18" s="75"/>
      <c r="X18" s="93">
        <f t="shared" si="21"/>
        <v>0</v>
      </c>
      <c r="Y18" s="93"/>
      <c r="Z18" s="93"/>
      <c r="AA18" s="93"/>
      <c r="AB18" s="93">
        <f t="shared" si="22"/>
        <v>0</v>
      </c>
      <c r="AC18" s="94"/>
      <c r="AD18" s="77"/>
      <c r="AE18" s="95">
        <f t="shared" si="1"/>
        <v>0</v>
      </c>
      <c r="AF18" s="77"/>
      <c r="AG18" s="95">
        <f t="shared" si="2"/>
        <v>0</v>
      </c>
      <c r="AH18" s="77"/>
      <c r="AI18" s="95">
        <f t="shared" si="3"/>
        <v>0</v>
      </c>
      <c r="AJ18" s="77"/>
      <c r="AK18" s="95">
        <f t="shared" si="4"/>
        <v>0</v>
      </c>
      <c r="AL18" s="77"/>
      <c r="AM18" s="95">
        <f t="shared" si="5"/>
        <v>0</v>
      </c>
      <c r="AN18" s="77"/>
      <c r="AO18" s="95">
        <f t="shared" si="6"/>
        <v>0</v>
      </c>
      <c r="AP18" s="96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3">
        <f t="shared" si="15"/>
        <v>0</v>
      </c>
      <c r="G19" s="75"/>
      <c r="H19" s="75"/>
      <c r="I19" s="93">
        <f t="shared" si="16"/>
        <v>0</v>
      </c>
      <c r="J19" s="76"/>
      <c r="K19" s="75"/>
      <c r="L19" s="93">
        <f t="shared" si="17"/>
        <v>0</v>
      </c>
      <c r="M19" s="75"/>
      <c r="N19" s="75"/>
      <c r="O19" s="93">
        <f t="shared" si="18"/>
        <v>0</v>
      </c>
      <c r="P19" s="75"/>
      <c r="Q19" s="75"/>
      <c r="R19" s="93">
        <f t="shared" si="19"/>
        <v>0</v>
      </c>
      <c r="S19" s="75"/>
      <c r="T19" s="75"/>
      <c r="U19" s="93">
        <f t="shared" si="20"/>
        <v>0</v>
      </c>
      <c r="V19" s="75"/>
      <c r="W19" s="75"/>
      <c r="X19" s="93">
        <f t="shared" si="21"/>
        <v>0</v>
      </c>
      <c r="Y19" s="93"/>
      <c r="Z19" s="93"/>
      <c r="AA19" s="93"/>
      <c r="AB19" s="93">
        <f t="shared" si="22"/>
        <v>0</v>
      </c>
      <c r="AC19" s="94"/>
      <c r="AD19" s="77"/>
      <c r="AE19" s="95">
        <f t="shared" si="1"/>
        <v>0</v>
      </c>
      <c r="AF19" s="77"/>
      <c r="AG19" s="95">
        <f t="shared" si="2"/>
        <v>0</v>
      </c>
      <c r="AH19" s="77"/>
      <c r="AI19" s="95">
        <f t="shared" si="3"/>
        <v>0</v>
      </c>
      <c r="AJ19" s="77"/>
      <c r="AK19" s="95">
        <f t="shared" si="4"/>
        <v>0</v>
      </c>
      <c r="AL19" s="77"/>
      <c r="AM19" s="95">
        <f t="shared" si="5"/>
        <v>0</v>
      </c>
      <c r="AN19" s="77"/>
      <c r="AO19" s="95">
        <f t="shared" si="6"/>
        <v>0</v>
      </c>
      <c r="AP19" s="96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3">
        <f t="shared" si="15"/>
        <v>0</v>
      </c>
      <c r="G20" s="75"/>
      <c r="H20" s="75"/>
      <c r="I20" s="93">
        <f t="shared" si="16"/>
        <v>0</v>
      </c>
      <c r="J20" s="76"/>
      <c r="K20" s="75"/>
      <c r="L20" s="93">
        <f t="shared" si="17"/>
        <v>0</v>
      </c>
      <c r="M20" s="75"/>
      <c r="N20" s="75"/>
      <c r="O20" s="93">
        <f t="shared" si="18"/>
        <v>0</v>
      </c>
      <c r="P20" s="75"/>
      <c r="Q20" s="75"/>
      <c r="R20" s="93">
        <f t="shared" si="19"/>
        <v>0</v>
      </c>
      <c r="S20" s="75"/>
      <c r="T20" s="75"/>
      <c r="U20" s="93">
        <f t="shared" si="20"/>
        <v>0</v>
      </c>
      <c r="V20" s="75"/>
      <c r="W20" s="75"/>
      <c r="X20" s="93">
        <f t="shared" si="21"/>
        <v>0</v>
      </c>
      <c r="Y20" s="93"/>
      <c r="Z20" s="93"/>
      <c r="AA20" s="93"/>
      <c r="AB20" s="93">
        <f t="shared" si="22"/>
        <v>0</v>
      </c>
      <c r="AC20" s="94"/>
      <c r="AD20" s="77"/>
      <c r="AE20" s="95">
        <f t="shared" si="1"/>
        <v>0</v>
      </c>
      <c r="AF20" s="77"/>
      <c r="AG20" s="95">
        <f t="shared" si="2"/>
        <v>0</v>
      </c>
      <c r="AH20" s="77"/>
      <c r="AI20" s="95">
        <f t="shared" si="3"/>
        <v>0</v>
      </c>
      <c r="AJ20" s="77"/>
      <c r="AK20" s="95">
        <f t="shared" si="4"/>
        <v>0</v>
      </c>
      <c r="AL20" s="77"/>
      <c r="AM20" s="95">
        <f t="shared" si="5"/>
        <v>0</v>
      </c>
      <c r="AN20" s="77"/>
      <c r="AO20" s="95">
        <f t="shared" si="6"/>
        <v>0</v>
      </c>
      <c r="AP20" s="96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3">
        <f t="shared" ref="F21:F29" si="59">BA21-BB21</f>
        <v>0</v>
      </c>
      <c r="G21" s="75"/>
      <c r="H21" s="75"/>
      <c r="I21" s="93">
        <f t="shared" ref="I21:I29" si="60">BF21-BG21</f>
        <v>0</v>
      </c>
      <c r="J21" s="76"/>
      <c r="K21" s="75"/>
      <c r="L21" s="93">
        <f t="shared" ref="L21:L29" si="61">BK21-BL21</f>
        <v>0</v>
      </c>
      <c r="M21" s="75"/>
      <c r="N21" s="75"/>
      <c r="O21" s="93">
        <f t="shared" ref="O21:O29" si="62">BP21-BQ21</f>
        <v>0</v>
      </c>
      <c r="P21" s="75"/>
      <c r="Q21" s="75"/>
      <c r="R21" s="93">
        <f t="shared" ref="R21:R29" si="63">BU21-BV21</f>
        <v>0</v>
      </c>
      <c r="S21" s="75"/>
      <c r="T21" s="75"/>
      <c r="U21" s="93">
        <f t="shared" ref="U21:U29" si="64">BZ21-CA21</f>
        <v>0</v>
      </c>
      <c r="V21" s="75"/>
      <c r="W21" s="75"/>
      <c r="X21" s="93">
        <f t="shared" ref="X21:X29" si="65">CE21-CF21</f>
        <v>0</v>
      </c>
      <c r="Y21" s="93"/>
      <c r="Z21" s="93"/>
      <c r="AA21" s="93"/>
      <c r="AB21" s="93">
        <f t="shared" ref="AB21:AB29" si="66">SUM(F21,I21,L21,O21,R21,U21,X21)</f>
        <v>0</v>
      </c>
      <c r="AC21" s="94"/>
      <c r="AD21" s="77"/>
      <c r="AE21" s="95">
        <f t="shared" ref="AE21:AE29" si="67">SUMIF($BC$1:$CI$1,AE$1,$BC21:$CI21)+AD21</f>
        <v>0</v>
      </c>
      <c r="AF21" s="77"/>
      <c r="AG21" s="95">
        <f t="shared" ref="AG21:AG29" si="68">SUMIF($BC$1:$CI$1,AG$1,$BC21:$CI21)+AF21</f>
        <v>0</v>
      </c>
      <c r="AH21" s="77"/>
      <c r="AI21" s="95">
        <f t="shared" ref="AI21:AI29" si="69">SUMIF($BC$1:$CI$1,AI$1,$BC21:$CI21)+AH21</f>
        <v>0</v>
      </c>
      <c r="AJ21" s="77"/>
      <c r="AK21" s="95">
        <f t="shared" ref="AK21:AK29" si="70">SUMIF($BC$1:$CI$1,AK$1,$BC21:$CI21)+AJ21</f>
        <v>0</v>
      </c>
      <c r="AL21" s="77"/>
      <c r="AM21" s="95">
        <f t="shared" ref="AM21:AM29" si="71">SUMIF($BC$1:$CI$1,AM$1,$BC21:$CI21)+AL21</f>
        <v>0</v>
      </c>
      <c r="AN21" s="77"/>
      <c r="AO21" s="95">
        <f t="shared" ref="AO21:AO29" si="72">SUMIF($BC$1:$CI$1,AO$1,$BC21:$CI21)+AN21</f>
        <v>0</v>
      </c>
      <c r="AP21" s="96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3">
        <f t="shared" si="59"/>
        <v>0</v>
      </c>
      <c r="G22" s="75"/>
      <c r="H22" s="75"/>
      <c r="I22" s="93">
        <f t="shared" si="60"/>
        <v>0</v>
      </c>
      <c r="J22" s="76"/>
      <c r="K22" s="75"/>
      <c r="L22" s="93">
        <f t="shared" si="61"/>
        <v>0</v>
      </c>
      <c r="M22" s="75"/>
      <c r="N22" s="75"/>
      <c r="O22" s="93">
        <f t="shared" si="62"/>
        <v>0</v>
      </c>
      <c r="P22" s="75"/>
      <c r="Q22" s="75"/>
      <c r="R22" s="93">
        <f t="shared" si="63"/>
        <v>0</v>
      </c>
      <c r="S22" s="75"/>
      <c r="T22" s="75"/>
      <c r="U22" s="93">
        <f t="shared" si="64"/>
        <v>0</v>
      </c>
      <c r="V22" s="75"/>
      <c r="W22" s="75"/>
      <c r="X22" s="93">
        <f t="shared" si="65"/>
        <v>0</v>
      </c>
      <c r="Y22" s="93"/>
      <c r="Z22" s="93"/>
      <c r="AA22" s="93"/>
      <c r="AB22" s="93">
        <f t="shared" si="66"/>
        <v>0</v>
      </c>
      <c r="AC22" s="94"/>
      <c r="AD22" s="77"/>
      <c r="AE22" s="95">
        <f t="shared" si="67"/>
        <v>0</v>
      </c>
      <c r="AF22" s="77"/>
      <c r="AG22" s="95">
        <f t="shared" si="68"/>
        <v>0</v>
      </c>
      <c r="AH22" s="77"/>
      <c r="AI22" s="95">
        <f t="shared" si="69"/>
        <v>0</v>
      </c>
      <c r="AJ22" s="77"/>
      <c r="AK22" s="95">
        <f t="shared" si="70"/>
        <v>0</v>
      </c>
      <c r="AL22" s="77"/>
      <c r="AM22" s="95">
        <f t="shared" si="71"/>
        <v>0</v>
      </c>
      <c r="AN22" s="77"/>
      <c r="AO22" s="95">
        <f t="shared" si="72"/>
        <v>0</v>
      </c>
      <c r="AP22" s="96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3">
        <f t="shared" si="59"/>
        <v>0</v>
      </c>
      <c r="G23" s="75"/>
      <c r="H23" s="75"/>
      <c r="I23" s="93">
        <f t="shared" si="60"/>
        <v>0</v>
      </c>
      <c r="J23" s="76"/>
      <c r="K23" s="75"/>
      <c r="L23" s="93">
        <f t="shared" si="61"/>
        <v>0</v>
      </c>
      <c r="M23" s="75"/>
      <c r="N23" s="75"/>
      <c r="O23" s="93">
        <f t="shared" si="62"/>
        <v>0</v>
      </c>
      <c r="P23" s="75"/>
      <c r="Q23" s="75"/>
      <c r="R23" s="93">
        <f t="shared" si="63"/>
        <v>0</v>
      </c>
      <c r="S23" s="75"/>
      <c r="T23" s="75"/>
      <c r="U23" s="93">
        <f t="shared" si="64"/>
        <v>0</v>
      </c>
      <c r="V23" s="75"/>
      <c r="W23" s="75"/>
      <c r="X23" s="93">
        <f t="shared" si="65"/>
        <v>0</v>
      </c>
      <c r="Y23" s="93"/>
      <c r="Z23" s="93"/>
      <c r="AA23" s="93"/>
      <c r="AB23" s="93">
        <f t="shared" si="66"/>
        <v>0</v>
      </c>
      <c r="AC23" s="94"/>
      <c r="AD23" s="77"/>
      <c r="AE23" s="95">
        <f t="shared" si="67"/>
        <v>0</v>
      </c>
      <c r="AF23" s="77"/>
      <c r="AG23" s="95">
        <f t="shared" si="68"/>
        <v>0</v>
      </c>
      <c r="AH23" s="77"/>
      <c r="AI23" s="95">
        <f t="shared" si="69"/>
        <v>0</v>
      </c>
      <c r="AJ23" s="77"/>
      <c r="AK23" s="95">
        <f t="shared" si="70"/>
        <v>0</v>
      </c>
      <c r="AL23" s="77"/>
      <c r="AM23" s="95">
        <f t="shared" si="71"/>
        <v>0</v>
      </c>
      <c r="AN23" s="77"/>
      <c r="AO23" s="95">
        <f t="shared" si="72"/>
        <v>0</v>
      </c>
      <c r="AP23" s="96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3">
        <f t="shared" si="59"/>
        <v>0</v>
      </c>
      <c r="G24" s="75"/>
      <c r="H24" s="75"/>
      <c r="I24" s="93">
        <f t="shared" si="60"/>
        <v>0</v>
      </c>
      <c r="J24" s="76"/>
      <c r="K24" s="75"/>
      <c r="L24" s="93">
        <f t="shared" si="61"/>
        <v>0</v>
      </c>
      <c r="M24" s="75"/>
      <c r="N24" s="75"/>
      <c r="O24" s="93">
        <f t="shared" si="62"/>
        <v>0</v>
      </c>
      <c r="P24" s="75"/>
      <c r="Q24" s="75"/>
      <c r="R24" s="93">
        <f t="shared" si="63"/>
        <v>0</v>
      </c>
      <c r="S24" s="75"/>
      <c r="T24" s="75"/>
      <c r="U24" s="93">
        <f t="shared" si="64"/>
        <v>0</v>
      </c>
      <c r="V24" s="75"/>
      <c r="W24" s="75"/>
      <c r="X24" s="93">
        <f t="shared" si="65"/>
        <v>0</v>
      </c>
      <c r="Y24" s="93"/>
      <c r="Z24" s="93"/>
      <c r="AA24" s="93"/>
      <c r="AB24" s="93">
        <f t="shared" si="66"/>
        <v>0</v>
      </c>
      <c r="AC24" s="94"/>
      <c r="AD24" s="77"/>
      <c r="AE24" s="95">
        <f t="shared" si="67"/>
        <v>0</v>
      </c>
      <c r="AF24" s="77"/>
      <c r="AG24" s="95">
        <f t="shared" si="68"/>
        <v>0</v>
      </c>
      <c r="AH24" s="77"/>
      <c r="AI24" s="95">
        <f t="shared" si="69"/>
        <v>0</v>
      </c>
      <c r="AJ24" s="77"/>
      <c r="AK24" s="95">
        <f t="shared" si="70"/>
        <v>0</v>
      </c>
      <c r="AL24" s="77"/>
      <c r="AM24" s="95">
        <f t="shared" si="71"/>
        <v>0</v>
      </c>
      <c r="AN24" s="77"/>
      <c r="AO24" s="95">
        <f t="shared" si="72"/>
        <v>0</v>
      </c>
      <c r="AP24" s="96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3">
        <f t="shared" si="59"/>
        <v>0</v>
      </c>
      <c r="G25" s="75"/>
      <c r="H25" s="75"/>
      <c r="I25" s="93">
        <f t="shared" si="60"/>
        <v>0</v>
      </c>
      <c r="J25" s="76"/>
      <c r="K25" s="75"/>
      <c r="L25" s="93">
        <f t="shared" si="61"/>
        <v>0</v>
      </c>
      <c r="M25" s="75"/>
      <c r="N25" s="75"/>
      <c r="O25" s="93">
        <f t="shared" si="62"/>
        <v>0</v>
      </c>
      <c r="P25" s="75"/>
      <c r="Q25" s="75"/>
      <c r="R25" s="93">
        <f t="shared" si="63"/>
        <v>0</v>
      </c>
      <c r="S25" s="75"/>
      <c r="T25" s="75"/>
      <c r="U25" s="93">
        <f t="shared" si="64"/>
        <v>0</v>
      </c>
      <c r="V25" s="75"/>
      <c r="W25" s="75"/>
      <c r="X25" s="93">
        <f t="shared" si="65"/>
        <v>0</v>
      </c>
      <c r="Y25" s="93"/>
      <c r="Z25" s="93"/>
      <c r="AA25" s="93"/>
      <c r="AB25" s="93">
        <f t="shared" si="66"/>
        <v>0</v>
      </c>
      <c r="AC25" s="94"/>
      <c r="AD25" s="77"/>
      <c r="AE25" s="95">
        <f t="shared" si="67"/>
        <v>0</v>
      </c>
      <c r="AF25" s="77"/>
      <c r="AG25" s="95">
        <f t="shared" si="68"/>
        <v>0</v>
      </c>
      <c r="AH25" s="77"/>
      <c r="AI25" s="95">
        <f t="shared" si="69"/>
        <v>0</v>
      </c>
      <c r="AJ25" s="77"/>
      <c r="AK25" s="95">
        <f t="shared" si="70"/>
        <v>0</v>
      </c>
      <c r="AL25" s="77"/>
      <c r="AM25" s="95">
        <f t="shared" si="71"/>
        <v>0</v>
      </c>
      <c r="AN25" s="77"/>
      <c r="AO25" s="95">
        <f t="shared" si="72"/>
        <v>0</v>
      </c>
      <c r="AP25" s="96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3">
        <f t="shared" si="59"/>
        <v>0</v>
      </c>
      <c r="G26" s="75"/>
      <c r="H26" s="75"/>
      <c r="I26" s="93">
        <f t="shared" si="60"/>
        <v>0</v>
      </c>
      <c r="J26" s="76"/>
      <c r="K26" s="75"/>
      <c r="L26" s="93">
        <f t="shared" si="61"/>
        <v>0</v>
      </c>
      <c r="M26" s="75"/>
      <c r="N26" s="75"/>
      <c r="O26" s="93">
        <f t="shared" si="62"/>
        <v>0</v>
      </c>
      <c r="P26" s="75"/>
      <c r="Q26" s="75"/>
      <c r="R26" s="93">
        <f t="shared" si="63"/>
        <v>0</v>
      </c>
      <c r="S26" s="75"/>
      <c r="T26" s="75"/>
      <c r="U26" s="93">
        <f t="shared" si="64"/>
        <v>0</v>
      </c>
      <c r="V26" s="75"/>
      <c r="W26" s="75"/>
      <c r="X26" s="93">
        <f t="shared" si="65"/>
        <v>0</v>
      </c>
      <c r="Y26" s="93"/>
      <c r="Z26" s="93"/>
      <c r="AA26" s="93"/>
      <c r="AB26" s="93">
        <f t="shared" si="66"/>
        <v>0</v>
      </c>
      <c r="AC26" s="94"/>
      <c r="AD26" s="77"/>
      <c r="AE26" s="95">
        <f t="shared" si="67"/>
        <v>0</v>
      </c>
      <c r="AF26" s="77"/>
      <c r="AG26" s="95">
        <f t="shared" si="68"/>
        <v>0</v>
      </c>
      <c r="AH26" s="77"/>
      <c r="AI26" s="95">
        <f t="shared" si="69"/>
        <v>0</v>
      </c>
      <c r="AJ26" s="77"/>
      <c r="AK26" s="95">
        <f t="shared" si="70"/>
        <v>0</v>
      </c>
      <c r="AL26" s="77"/>
      <c r="AM26" s="95">
        <f t="shared" si="71"/>
        <v>0</v>
      </c>
      <c r="AN26" s="77"/>
      <c r="AO26" s="95">
        <f t="shared" si="72"/>
        <v>0</v>
      </c>
      <c r="AP26" s="96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3">
        <f t="shared" si="59"/>
        <v>0</v>
      </c>
      <c r="G27" s="75"/>
      <c r="H27" s="75"/>
      <c r="I27" s="93">
        <f t="shared" si="60"/>
        <v>0</v>
      </c>
      <c r="J27" s="76"/>
      <c r="K27" s="75"/>
      <c r="L27" s="93">
        <f t="shared" si="61"/>
        <v>0</v>
      </c>
      <c r="M27" s="75"/>
      <c r="N27" s="75"/>
      <c r="O27" s="93">
        <f t="shared" si="62"/>
        <v>0</v>
      </c>
      <c r="P27" s="75"/>
      <c r="Q27" s="75"/>
      <c r="R27" s="93">
        <f t="shared" si="63"/>
        <v>0</v>
      </c>
      <c r="S27" s="75"/>
      <c r="T27" s="75"/>
      <c r="U27" s="93">
        <f t="shared" si="64"/>
        <v>0</v>
      </c>
      <c r="V27" s="75"/>
      <c r="W27" s="75"/>
      <c r="X27" s="93">
        <f t="shared" si="65"/>
        <v>0</v>
      </c>
      <c r="Y27" s="93"/>
      <c r="Z27" s="93"/>
      <c r="AA27" s="93"/>
      <c r="AB27" s="93">
        <f t="shared" si="66"/>
        <v>0</v>
      </c>
      <c r="AC27" s="94"/>
      <c r="AD27" s="77"/>
      <c r="AE27" s="95">
        <f t="shared" si="67"/>
        <v>0</v>
      </c>
      <c r="AF27" s="77"/>
      <c r="AG27" s="95">
        <f t="shared" si="68"/>
        <v>0</v>
      </c>
      <c r="AH27" s="77"/>
      <c r="AI27" s="95">
        <f t="shared" si="69"/>
        <v>0</v>
      </c>
      <c r="AJ27" s="77"/>
      <c r="AK27" s="95">
        <f t="shared" si="70"/>
        <v>0</v>
      </c>
      <c r="AL27" s="77"/>
      <c r="AM27" s="95">
        <f t="shared" si="71"/>
        <v>0</v>
      </c>
      <c r="AN27" s="77"/>
      <c r="AO27" s="95">
        <f t="shared" si="72"/>
        <v>0</v>
      </c>
      <c r="AP27" s="96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3">
        <f t="shared" si="59"/>
        <v>0</v>
      </c>
      <c r="G28" s="75"/>
      <c r="H28" s="75"/>
      <c r="I28" s="93">
        <f t="shared" si="60"/>
        <v>0</v>
      </c>
      <c r="J28" s="76"/>
      <c r="K28" s="75"/>
      <c r="L28" s="93">
        <f t="shared" si="61"/>
        <v>0</v>
      </c>
      <c r="M28" s="75"/>
      <c r="N28" s="75"/>
      <c r="O28" s="93">
        <f t="shared" si="62"/>
        <v>0</v>
      </c>
      <c r="P28" s="75"/>
      <c r="Q28" s="75"/>
      <c r="R28" s="93">
        <f t="shared" si="63"/>
        <v>0</v>
      </c>
      <c r="S28" s="75"/>
      <c r="T28" s="75"/>
      <c r="U28" s="93">
        <f t="shared" si="64"/>
        <v>0</v>
      </c>
      <c r="V28" s="75"/>
      <c r="W28" s="75"/>
      <c r="X28" s="93">
        <f t="shared" si="65"/>
        <v>0</v>
      </c>
      <c r="Y28" s="93"/>
      <c r="Z28" s="93"/>
      <c r="AA28" s="93"/>
      <c r="AB28" s="93">
        <f t="shared" si="66"/>
        <v>0</v>
      </c>
      <c r="AC28" s="94"/>
      <c r="AD28" s="77"/>
      <c r="AE28" s="95">
        <f t="shared" si="67"/>
        <v>0</v>
      </c>
      <c r="AF28" s="77"/>
      <c r="AG28" s="95">
        <f t="shared" si="68"/>
        <v>0</v>
      </c>
      <c r="AH28" s="77"/>
      <c r="AI28" s="95">
        <f t="shared" si="69"/>
        <v>0</v>
      </c>
      <c r="AJ28" s="77"/>
      <c r="AK28" s="95">
        <f t="shared" si="70"/>
        <v>0</v>
      </c>
      <c r="AL28" s="77"/>
      <c r="AM28" s="95">
        <f t="shared" si="71"/>
        <v>0</v>
      </c>
      <c r="AN28" s="77"/>
      <c r="AO28" s="95">
        <f t="shared" si="72"/>
        <v>0</v>
      </c>
      <c r="AP28" s="96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3">
        <f t="shared" si="59"/>
        <v>0</v>
      </c>
      <c r="G29" s="75"/>
      <c r="H29" s="75"/>
      <c r="I29" s="93">
        <f t="shared" si="60"/>
        <v>0</v>
      </c>
      <c r="J29" s="76"/>
      <c r="K29" s="75"/>
      <c r="L29" s="93">
        <f t="shared" si="61"/>
        <v>0</v>
      </c>
      <c r="M29" s="75"/>
      <c r="N29" s="75"/>
      <c r="O29" s="93">
        <f t="shared" si="62"/>
        <v>0</v>
      </c>
      <c r="P29" s="75"/>
      <c r="Q29" s="75"/>
      <c r="R29" s="93">
        <f t="shared" si="63"/>
        <v>0</v>
      </c>
      <c r="S29" s="75"/>
      <c r="T29" s="75"/>
      <c r="U29" s="93">
        <f t="shared" si="64"/>
        <v>0</v>
      </c>
      <c r="V29" s="75"/>
      <c r="W29" s="75"/>
      <c r="X29" s="93">
        <f t="shared" si="65"/>
        <v>0</v>
      </c>
      <c r="Y29" s="93"/>
      <c r="Z29" s="93"/>
      <c r="AA29" s="93"/>
      <c r="AB29" s="93">
        <f t="shared" si="66"/>
        <v>0</v>
      </c>
      <c r="AC29" s="94"/>
      <c r="AD29" s="77"/>
      <c r="AE29" s="95">
        <f t="shared" si="67"/>
        <v>0</v>
      </c>
      <c r="AF29" s="77"/>
      <c r="AG29" s="95">
        <f t="shared" si="68"/>
        <v>0</v>
      </c>
      <c r="AH29" s="77"/>
      <c r="AI29" s="95">
        <f t="shared" si="69"/>
        <v>0</v>
      </c>
      <c r="AJ29" s="77"/>
      <c r="AK29" s="95">
        <f t="shared" si="70"/>
        <v>0</v>
      </c>
      <c r="AL29" s="77"/>
      <c r="AM29" s="95">
        <f t="shared" si="71"/>
        <v>0</v>
      </c>
      <c r="AN29" s="77"/>
      <c r="AO29" s="95">
        <f t="shared" si="72"/>
        <v>0</v>
      </c>
      <c r="AP29" s="96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3">
        <f t="shared" si="15"/>
        <v>0</v>
      </c>
      <c r="G30" s="75"/>
      <c r="H30" s="75"/>
      <c r="I30" s="93">
        <f t="shared" si="16"/>
        <v>0</v>
      </c>
      <c r="J30" s="76"/>
      <c r="K30" s="75"/>
      <c r="L30" s="93">
        <f t="shared" si="17"/>
        <v>0</v>
      </c>
      <c r="M30" s="75"/>
      <c r="N30" s="75"/>
      <c r="O30" s="93">
        <f t="shared" si="18"/>
        <v>0</v>
      </c>
      <c r="P30" s="75"/>
      <c r="Q30" s="75"/>
      <c r="R30" s="93">
        <f t="shared" si="19"/>
        <v>0</v>
      </c>
      <c r="S30" s="75"/>
      <c r="T30" s="75"/>
      <c r="U30" s="93">
        <f t="shared" si="20"/>
        <v>0</v>
      </c>
      <c r="V30" s="75"/>
      <c r="W30" s="75"/>
      <c r="X30" s="93">
        <f t="shared" si="21"/>
        <v>0</v>
      </c>
      <c r="Y30" s="93"/>
      <c r="Z30" s="93"/>
      <c r="AA30" s="93"/>
      <c r="AB30" s="93">
        <f t="shared" si="22"/>
        <v>0</v>
      </c>
      <c r="AC30" s="94"/>
      <c r="AD30" s="77"/>
      <c r="AE30" s="95">
        <f t="shared" si="1"/>
        <v>0</v>
      </c>
      <c r="AF30" s="77"/>
      <c r="AG30" s="95">
        <f t="shared" si="2"/>
        <v>0</v>
      </c>
      <c r="AH30" s="77"/>
      <c r="AI30" s="95">
        <f t="shared" si="3"/>
        <v>0</v>
      </c>
      <c r="AJ30" s="77"/>
      <c r="AK30" s="95">
        <f t="shared" si="4"/>
        <v>0</v>
      </c>
      <c r="AL30" s="77"/>
      <c r="AM30" s="95">
        <f t="shared" si="5"/>
        <v>0</v>
      </c>
      <c r="AN30" s="77"/>
      <c r="AO30" s="95">
        <f t="shared" si="6"/>
        <v>0</v>
      </c>
      <c r="AP30" s="96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3">
        <f t="shared" si="15"/>
        <v>0</v>
      </c>
      <c r="G31" s="75"/>
      <c r="H31" s="75"/>
      <c r="I31" s="93">
        <f t="shared" si="16"/>
        <v>0</v>
      </c>
      <c r="J31" s="76"/>
      <c r="K31" s="75"/>
      <c r="L31" s="93">
        <f t="shared" si="17"/>
        <v>0</v>
      </c>
      <c r="M31" s="75"/>
      <c r="N31" s="75"/>
      <c r="O31" s="93">
        <f t="shared" si="18"/>
        <v>0</v>
      </c>
      <c r="P31" s="75"/>
      <c r="Q31" s="75"/>
      <c r="R31" s="93">
        <f t="shared" si="19"/>
        <v>0</v>
      </c>
      <c r="S31" s="75"/>
      <c r="T31" s="75"/>
      <c r="U31" s="93">
        <f t="shared" si="20"/>
        <v>0</v>
      </c>
      <c r="V31" s="75"/>
      <c r="W31" s="75"/>
      <c r="X31" s="93">
        <f t="shared" si="21"/>
        <v>0</v>
      </c>
      <c r="Y31" s="93"/>
      <c r="Z31" s="93"/>
      <c r="AA31" s="93"/>
      <c r="AB31" s="93">
        <f t="shared" si="22"/>
        <v>0</v>
      </c>
      <c r="AC31" s="94"/>
      <c r="AD31" s="77"/>
      <c r="AE31" s="95">
        <f t="shared" si="1"/>
        <v>0</v>
      </c>
      <c r="AF31" s="77"/>
      <c r="AG31" s="95">
        <f t="shared" si="2"/>
        <v>0</v>
      </c>
      <c r="AH31" s="77"/>
      <c r="AI31" s="95">
        <f t="shared" si="3"/>
        <v>0</v>
      </c>
      <c r="AJ31" s="77"/>
      <c r="AK31" s="95">
        <f t="shared" si="4"/>
        <v>0</v>
      </c>
      <c r="AL31" s="77"/>
      <c r="AM31" s="95">
        <f t="shared" si="5"/>
        <v>0</v>
      </c>
      <c r="AN31" s="77"/>
      <c r="AO31" s="95">
        <f t="shared" si="6"/>
        <v>0</v>
      </c>
      <c r="AP31" s="96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3">
        <f t="shared" si="15"/>
        <v>0</v>
      </c>
      <c r="G32" s="75"/>
      <c r="H32" s="75"/>
      <c r="I32" s="93">
        <f t="shared" si="16"/>
        <v>0</v>
      </c>
      <c r="J32" s="76"/>
      <c r="K32" s="75"/>
      <c r="L32" s="93">
        <f t="shared" si="17"/>
        <v>0</v>
      </c>
      <c r="M32" s="75"/>
      <c r="N32" s="75"/>
      <c r="O32" s="93">
        <f t="shared" si="18"/>
        <v>0</v>
      </c>
      <c r="P32" s="75"/>
      <c r="Q32" s="75"/>
      <c r="R32" s="93">
        <f t="shared" si="19"/>
        <v>0</v>
      </c>
      <c r="S32" s="75"/>
      <c r="T32" s="75"/>
      <c r="U32" s="93">
        <f t="shared" si="20"/>
        <v>0</v>
      </c>
      <c r="V32" s="75"/>
      <c r="W32" s="75"/>
      <c r="X32" s="93">
        <f t="shared" si="21"/>
        <v>0</v>
      </c>
      <c r="Y32" s="93"/>
      <c r="Z32" s="93"/>
      <c r="AA32" s="93"/>
      <c r="AB32" s="93">
        <f t="shared" si="22"/>
        <v>0</v>
      </c>
      <c r="AC32" s="94"/>
      <c r="AD32" s="77"/>
      <c r="AE32" s="95">
        <f t="shared" si="1"/>
        <v>0</v>
      </c>
      <c r="AF32" s="77"/>
      <c r="AG32" s="95">
        <f t="shared" si="2"/>
        <v>0</v>
      </c>
      <c r="AH32" s="77"/>
      <c r="AI32" s="95">
        <f t="shared" si="3"/>
        <v>0</v>
      </c>
      <c r="AJ32" s="77"/>
      <c r="AK32" s="95">
        <f t="shared" si="4"/>
        <v>0</v>
      </c>
      <c r="AL32" s="77"/>
      <c r="AM32" s="95">
        <f t="shared" si="5"/>
        <v>0</v>
      </c>
      <c r="AN32" s="77"/>
      <c r="AO32" s="95">
        <f t="shared" si="6"/>
        <v>0</v>
      </c>
      <c r="AP32" s="96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3">
        <f t="shared" si="15"/>
        <v>0</v>
      </c>
      <c r="G33" s="75"/>
      <c r="H33" s="75"/>
      <c r="I33" s="93">
        <f t="shared" si="16"/>
        <v>0</v>
      </c>
      <c r="J33" s="76"/>
      <c r="K33" s="75"/>
      <c r="L33" s="93">
        <f t="shared" si="17"/>
        <v>0</v>
      </c>
      <c r="M33" s="75"/>
      <c r="N33" s="75"/>
      <c r="O33" s="93">
        <f t="shared" si="18"/>
        <v>0</v>
      </c>
      <c r="P33" s="75"/>
      <c r="Q33" s="75"/>
      <c r="R33" s="93">
        <f t="shared" si="19"/>
        <v>0</v>
      </c>
      <c r="S33" s="75"/>
      <c r="T33" s="75"/>
      <c r="U33" s="93">
        <f t="shared" si="20"/>
        <v>0</v>
      </c>
      <c r="V33" s="75"/>
      <c r="W33" s="75"/>
      <c r="X33" s="93">
        <f t="shared" si="21"/>
        <v>0</v>
      </c>
      <c r="Y33" s="93"/>
      <c r="Z33" s="93"/>
      <c r="AA33" s="93"/>
      <c r="AB33" s="93">
        <f t="shared" si="22"/>
        <v>0</v>
      </c>
      <c r="AC33" s="94"/>
      <c r="AD33" s="77"/>
      <c r="AE33" s="95">
        <f t="shared" si="1"/>
        <v>0</v>
      </c>
      <c r="AF33" s="77"/>
      <c r="AG33" s="95">
        <f t="shared" si="2"/>
        <v>0</v>
      </c>
      <c r="AH33" s="77"/>
      <c r="AI33" s="95">
        <f t="shared" si="3"/>
        <v>0</v>
      </c>
      <c r="AJ33" s="77"/>
      <c r="AK33" s="95">
        <f t="shared" si="4"/>
        <v>0</v>
      </c>
      <c r="AL33" s="77"/>
      <c r="AM33" s="95">
        <f t="shared" si="5"/>
        <v>0</v>
      </c>
      <c r="AN33" s="77"/>
      <c r="AO33" s="95">
        <f t="shared" si="6"/>
        <v>0</v>
      </c>
      <c r="AP33" s="96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3">
        <f t="shared" si="15"/>
        <v>0</v>
      </c>
      <c r="G34" s="75"/>
      <c r="H34" s="75"/>
      <c r="I34" s="93">
        <f t="shared" si="16"/>
        <v>0</v>
      </c>
      <c r="J34" s="76"/>
      <c r="K34" s="75"/>
      <c r="L34" s="93">
        <f t="shared" si="17"/>
        <v>0</v>
      </c>
      <c r="M34" s="75"/>
      <c r="N34" s="75"/>
      <c r="O34" s="93">
        <f t="shared" si="18"/>
        <v>0</v>
      </c>
      <c r="P34" s="75"/>
      <c r="Q34" s="75"/>
      <c r="R34" s="93">
        <f t="shared" si="19"/>
        <v>0</v>
      </c>
      <c r="S34" s="75"/>
      <c r="T34" s="75"/>
      <c r="U34" s="93">
        <f t="shared" si="20"/>
        <v>0</v>
      </c>
      <c r="V34" s="75"/>
      <c r="W34" s="75"/>
      <c r="X34" s="93">
        <f t="shared" si="21"/>
        <v>0</v>
      </c>
      <c r="Y34" s="93"/>
      <c r="Z34" s="93"/>
      <c r="AA34" s="93"/>
      <c r="AB34" s="93">
        <f t="shared" si="22"/>
        <v>0</v>
      </c>
      <c r="AC34" s="94"/>
      <c r="AD34" s="77"/>
      <c r="AE34" s="95">
        <f t="shared" si="1"/>
        <v>0</v>
      </c>
      <c r="AF34" s="77"/>
      <c r="AG34" s="95">
        <f t="shared" si="2"/>
        <v>0</v>
      </c>
      <c r="AH34" s="77"/>
      <c r="AI34" s="95">
        <f t="shared" si="3"/>
        <v>0</v>
      </c>
      <c r="AJ34" s="77"/>
      <c r="AK34" s="95">
        <f t="shared" si="4"/>
        <v>0</v>
      </c>
      <c r="AL34" s="77"/>
      <c r="AM34" s="95">
        <f t="shared" si="5"/>
        <v>0</v>
      </c>
      <c r="AN34" s="77"/>
      <c r="AO34" s="95">
        <f t="shared" si="6"/>
        <v>0</v>
      </c>
      <c r="AP34" s="96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3">
        <f t="shared" si="15"/>
        <v>0</v>
      </c>
      <c r="G35" s="75"/>
      <c r="H35" s="75"/>
      <c r="I35" s="93">
        <f t="shared" si="16"/>
        <v>0</v>
      </c>
      <c r="J35" s="76"/>
      <c r="K35" s="75"/>
      <c r="L35" s="93">
        <f t="shared" si="17"/>
        <v>0</v>
      </c>
      <c r="M35" s="75"/>
      <c r="N35" s="75"/>
      <c r="O35" s="93">
        <f t="shared" si="18"/>
        <v>0</v>
      </c>
      <c r="P35" s="75"/>
      <c r="Q35" s="75"/>
      <c r="R35" s="93">
        <f t="shared" si="19"/>
        <v>0</v>
      </c>
      <c r="S35" s="75"/>
      <c r="T35" s="75"/>
      <c r="U35" s="93">
        <f t="shared" si="20"/>
        <v>0</v>
      </c>
      <c r="V35" s="75"/>
      <c r="W35" s="75"/>
      <c r="X35" s="93">
        <f t="shared" si="21"/>
        <v>0</v>
      </c>
      <c r="Y35" s="93"/>
      <c r="Z35" s="93"/>
      <c r="AA35" s="93"/>
      <c r="AB35" s="93">
        <f t="shared" si="22"/>
        <v>0</v>
      </c>
      <c r="AC35" s="94"/>
      <c r="AD35" s="77"/>
      <c r="AE35" s="95">
        <f t="shared" si="1"/>
        <v>0</v>
      </c>
      <c r="AF35" s="77"/>
      <c r="AG35" s="95">
        <f t="shared" si="2"/>
        <v>0</v>
      </c>
      <c r="AH35" s="77"/>
      <c r="AI35" s="95">
        <f t="shared" si="3"/>
        <v>0</v>
      </c>
      <c r="AJ35" s="77"/>
      <c r="AK35" s="95">
        <f t="shared" si="4"/>
        <v>0</v>
      </c>
      <c r="AL35" s="77"/>
      <c r="AM35" s="95">
        <f t="shared" si="5"/>
        <v>0</v>
      </c>
      <c r="AN35" s="77"/>
      <c r="AO35" s="95">
        <f t="shared" si="6"/>
        <v>0</v>
      </c>
      <c r="AP35" s="96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3">
        <f t="shared" si="15"/>
        <v>0</v>
      </c>
      <c r="G36" s="75"/>
      <c r="H36" s="75"/>
      <c r="I36" s="93">
        <f t="shared" si="16"/>
        <v>0</v>
      </c>
      <c r="J36" s="76"/>
      <c r="K36" s="75"/>
      <c r="L36" s="93">
        <f t="shared" si="17"/>
        <v>0</v>
      </c>
      <c r="M36" s="75"/>
      <c r="N36" s="75"/>
      <c r="O36" s="93">
        <f t="shared" si="18"/>
        <v>0</v>
      </c>
      <c r="P36" s="75"/>
      <c r="Q36" s="75"/>
      <c r="R36" s="93">
        <f t="shared" si="19"/>
        <v>0</v>
      </c>
      <c r="S36" s="75"/>
      <c r="T36" s="75"/>
      <c r="U36" s="93">
        <f t="shared" si="20"/>
        <v>0</v>
      </c>
      <c r="V36" s="75"/>
      <c r="W36" s="75"/>
      <c r="X36" s="93">
        <f t="shared" si="21"/>
        <v>0</v>
      </c>
      <c r="Y36" s="93"/>
      <c r="Z36" s="93"/>
      <c r="AA36" s="93"/>
      <c r="AB36" s="93">
        <f t="shared" si="22"/>
        <v>0</v>
      </c>
      <c r="AC36" s="94"/>
      <c r="AD36" s="77"/>
      <c r="AE36" s="95">
        <f t="shared" si="1"/>
        <v>0</v>
      </c>
      <c r="AF36" s="77"/>
      <c r="AG36" s="95">
        <f t="shared" si="2"/>
        <v>0</v>
      </c>
      <c r="AH36" s="77"/>
      <c r="AI36" s="95">
        <f t="shared" si="3"/>
        <v>0</v>
      </c>
      <c r="AJ36" s="77"/>
      <c r="AK36" s="95">
        <f t="shared" si="4"/>
        <v>0</v>
      </c>
      <c r="AL36" s="77"/>
      <c r="AM36" s="95">
        <f t="shared" si="5"/>
        <v>0</v>
      </c>
      <c r="AN36" s="77"/>
      <c r="AO36" s="95">
        <f t="shared" si="6"/>
        <v>0</v>
      </c>
      <c r="AP36" s="96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AE2" activePane="bottomRight" state="frozen"/>
      <selection pane="topRight" activeCell="D1" sqref="D1"/>
      <selection pane="bottomLeft" activeCell="A2" sqref="A2"/>
      <selection pane="bottomRight" activeCell="AR10" sqref="AR10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10308</v>
      </c>
      <c r="B2" s="81" t="s">
        <v>886</v>
      </c>
      <c r="C2" s="92" t="s">
        <v>1132</v>
      </c>
      <c r="D2" s="85">
        <v>0.64583333333333337</v>
      </c>
      <c r="E2" s="85">
        <v>0.95833333333333337</v>
      </c>
      <c r="F2" s="93">
        <f>BA2-BB2</f>
        <v>7</v>
      </c>
      <c r="G2" s="85">
        <v>0.64583333333333337</v>
      </c>
      <c r="H2" s="85">
        <v>0.95833333333333337</v>
      </c>
      <c r="I2" s="93">
        <f>BF2-BG2</f>
        <v>7</v>
      </c>
      <c r="J2" s="85">
        <v>0.64583333333333337</v>
      </c>
      <c r="K2" s="85">
        <v>0.95833333333333337</v>
      </c>
      <c r="L2" s="93">
        <f>BK2-BL2</f>
        <v>7</v>
      </c>
      <c r="M2" s="85">
        <v>0.64583333333333337</v>
      </c>
      <c r="N2" s="85">
        <v>0.99652777777777779</v>
      </c>
      <c r="O2" s="93">
        <f>BP2-BQ2</f>
        <v>7.9166666666666661</v>
      </c>
      <c r="P2" s="75">
        <v>0.46875</v>
      </c>
      <c r="Q2" s="76">
        <v>0.97916666666666663</v>
      </c>
      <c r="R2" s="93">
        <f>BU2-BV2</f>
        <v>11.25</v>
      </c>
      <c r="S2" s="85"/>
      <c r="T2" s="76"/>
      <c r="U2" s="93">
        <f>BZ2-CA2</f>
        <v>0</v>
      </c>
      <c r="V2" s="75">
        <v>0.5625</v>
      </c>
      <c r="W2" s="85">
        <v>0.95833333333333337</v>
      </c>
      <c r="X2" s="93">
        <f>CE2-CF2</f>
        <v>8.5</v>
      </c>
      <c r="Y2" s="93"/>
      <c r="Z2" s="93"/>
      <c r="AA2" s="93"/>
      <c r="AB2" s="97">
        <f>SUM(F2,I2,L2,O2,R2,U2,X2)</f>
        <v>48.666666666666664</v>
      </c>
      <c r="AC2" s="94"/>
      <c r="AD2" s="78">
        <v>2</v>
      </c>
      <c r="AE2" s="95">
        <f>SUMIF($BC$1:$CI$1,AE$1,$BC2:$CI2)+AD2</f>
        <v>35.749999999999993</v>
      </c>
      <c r="AF2" s="78">
        <v>0.5</v>
      </c>
      <c r="AG2" s="95">
        <f>SUMIF($BC$1:$CI$1,AG$1,$BC2:$CI2)+AF2</f>
        <v>0.5</v>
      </c>
      <c r="AH2" s="78">
        <v>1</v>
      </c>
      <c r="AI2" s="95">
        <f>SUMIF($BC$1:$CI$1,AI$1,$BC2:$CI2)+AH2</f>
        <v>9.5</v>
      </c>
      <c r="AJ2" s="77"/>
      <c r="AK2" s="95">
        <f>SUMIF($BC$1:$CI$1,AK$1,$BC2:$CI2)+AJ2</f>
        <v>0</v>
      </c>
      <c r="AL2" s="78"/>
      <c r="AM2" s="95">
        <f>SUMIF($BC$1:$CI$1,AM$1,$BC2:$CI2)+AL2</f>
        <v>6.4166666666666732</v>
      </c>
      <c r="AN2" s="77"/>
      <c r="AO2" s="95">
        <f>SUMIF($BC$1:$CI$1,AO$1,$BC2:$CI2)+AN2</f>
        <v>0</v>
      </c>
      <c r="AP2" s="96">
        <f>CK2</f>
        <v>6</v>
      </c>
      <c r="AQ2" s="77"/>
      <c r="AR2" s="77"/>
      <c r="AS2" s="77"/>
      <c r="AT2" s="63">
        <f>AE2+AG2+AI2+AK2+AM2+AO2+SUM(AQ2:AS2)</f>
        <v>52.166666666666664</v>
      </c>
      <c r="AU2" s="78" t="s">
        <v>1415</v>
      </c>
      <c r="AV2" s="5"/>
      <c r="AW2" s="5"/>
      <c r="AX2" s="5"/>
      <c r="AY2" s="5"/>
      <c r="AZ2" s="24">
        <f>VLOOKUP(C2,Employees!D:I,6,FALSE)</f>
        <v>10308</v>
      </c>
      <c r="BA2" s="5">
        <f>IF(ISBLANK(D2),0,(E2-D2)*24)</f>
        <v>7.5</v>
      </c>
      <c r="BB2" s="5">
        <f>IF(BA2&gt;$AY$1,1,IF(BA2&gt;=$AX$1,0.5,0))</f>
        <v>0.5</v>
      </c>
      <c r="BC2" s="5">
        <f>BA2-BB2-BD2-BE2</f>
        <v>5.9999999999999982</v>
      </c>
      <c r="BD2" s="5">
        <f>IF(AND(E2&gt;$AV$1, D2&lt;$AW$1),(MIN(E2,$AW$1)-MAX(D2,$AV$1))*24,0)</f>
        <v>1.0000000000000018</v>
      </c>
      <c r="BE2" s="5">
        <f>IF(E2&gt;$AW$1,(E2-MAX(D2,$AW$1))*24,0)</f>
        <v>0</v>
      </c>
      <c r="BF2" s="5">
        <f t="shared" ref="BF2" si="1">IF(ISBLANK(G2),0,(H2-G2)*24)</f>
        <v>7.5</v>
      </c>
      <c r="BG2" s="5">
        <f>IF(BF2&gt;$AY$1,1,IF(BF2&gt;=$AX$1,0.5,0))</f>
        <v>0.5</v>
      </c>
      <c r="BH2" s="5">
        <f>BF2-BG2-BI2-BJ2</f>
        <v>5.9999999999999982</v>
      </c>
      <c r="BI2" s="5">
        <f>IF(AND(H2&gt;$AV$1,G2&lt;$AW$1),(MIN(H2,$AW$1)-MAX(G2,$AV$1))*24,0)</f>
        <v>1.0000000000000018</v>
      </c>
      <c r="BJ2" s="5">
        <f>IF(H2&gt;$AW$1,(H2-MAX(G2,$AW$1))*24,0)</f>
        <v>0</v>
      </c>
      <c r="BK2" s="5">
        <f t="shared" ref="BK2" si="2">IF(ISBLANK(J2),0,(K2-J2)*24)</f>
        <v>7.5</v>
      </c>
      <c r="BL2" s="5">
        <f>IF(BK2&gt;$AY$1,1,IF(BK2&gt;=$AX$1,0.5,0))</f>
        <v>0.5</v>
      </c>
      <c r="BM2" s="5">
        <f>BK2-BL2-BN2-BO2</f>
        <v>5.9999999999999982</v>
      </c>
      <c r="BN2" s="5">
        <f>IF(AND(K2&gt;$AV$1, J2&lt;$AW$1),(MIN(K2,$AW$1)-MAX(J2,$AV$1))*24,0)</f>
        <v>1.0000000000000018</v>
      </c>
      <c r="BO2" s="5">
        <f>IF(K2&gt;$AW$1,(K2-MAX(J2,$AW$1))*24,0)</f>
        <v>0</v>
      </c>
      <c r="BP2" s="5">
        <f t="shared" ref="BP2" si="3">IF(ISBLANK(M2),0,(N2-M2)*24)</f>
        <v>8.4166666666666661</v>
      </c>
      <c r="BQ2" s="5">
        <f>IF(BP2&gt;$AY$1,1,IF(BP2&gt;=$AX$1,0.5,0))</f>
        <v>0.5</v>
      </c>
      <c r="BR2" s="5">
        <f>BP2-BQ2-BS2-BT2</f>
        <v>5.9999999999999982</v>
      </c>
      <c r="BS2" s="5">
        <f>IF(AND(N2&gt;$AV$1, M2&lt;$AW$1),(MIN(N2,$AW$1)-MAX(M2,$AV$1))*24,0)</f>
        <v>1.9166666666666679</v>
      </c>
      <c r="BT2" s="5">
        <f>IF(N2&gt;$AW$1,(N2-MAX(M2,$AW$1))*24,0)</f>
        <v>0</v>
      </c>
      <c r="BU2" s="5">
        <f t="shared" ref="BU2" si="4">IF(ISBLANK(P2),0,(Q2-P2)*24)</f>
        <v>12.25</v>
      </c>
      <c r="BV2" s="5">
        <f>IF(BU2&gt;$AY$1,1,IF(BU2&gt;=$AX$1,0.5,0))</f>
        <v>1</v>
      </c>
      <c r="BW2" s="5">
        <f>BU2-BV2-BX2-BY2</f>
        <v>9.75</v>
      </c>
      <c r="BX2" s="5">
        <f>IF(AND(Q2&gt;$AV$1, P2&lt;$AW$1),(MIN(Q2,$AW$1)-MAX(P2,$AV$1))*24,0)</f>
        <v>1.5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9.5</v>
      </c>
      <c r="CF2" s="5">
        <f>IF(CE2&gt;$AY$1,1,IF(CE2&gt;=$AX$1,0.5,0))</f>
        <v>1</v>
      </c>
      <c r="CG2" s="5">
        <f>CE2-CF2-CH2-CI2</f>
        <v>7.4999999999999982</v>
      </c>
      <c r="CH2" s="5">
        <f>IF(AND(W2&gt;$AV$1, V2&lt;$AW$1),(MIN(W2,$AW$1)-MAX(V2,$AV$1))*24,0)</f>
        <v>1.0000000000000018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6</v>
      </c>
    </row>
    <row r="3" spans="1:89" ht="47" customHeight="1">
      <c r="A3" s="74">
        <f t="shared" si="0"/>
        <v>10298</v>
      </c>
      <c r="B3" s="81" t="s">
        <v>886</v>
      </c>
      <c r="C3" s="92" t="s">
        <v>838</v>
      </c>
      <c r="D3" s="84">
        <v>0.4375</v>
      </c>
      <c r="E3" s="85">
        <v>0.64583333333333337</v>
      </c>
      <c r="F3" s="93">
        <f t="shared" ref="F3:F74" si="9">BA3-BB3</f>
        <v>5.0000000000000009</v>
      </c>
      <c r="G3" s="84">
        <v>0.4375</v>
      </c>
      <c r="H3" s="84">
        <v>0.75</v>
      </c>
      <c r="I3" s="93">
        <f t="shared" ref="I3:I74" si="10">BF3-BG3</f>
        <v>7</v>
      </c>
      <c r="J3" s="84">
        <v>0.4375</v>
      </c>
      <c r="K3" s="84">
        <v>0.75</v>
      </c>
      <c r="L3" s="93">
        <f t="shared" ref="L3:L74" si="11">BK3-BL3</f>
        <v>7</v>
      </c>
      <c r="M3" s="84">
        <v>0.4375</v>
      </c>
      <c r="N3" s="85">
        <v>0.64583333333333337</v>
      </c>
      <c r="O3" s="93">
        <f t="shared" ref="O3:O74" si="12">BP3-BQ3</f>
        <v>5.0000000000000009</v>
      </c>
      <c r="P3" s="85"/>
      <c r="Q3" s="85"/>
      <c r="R3" s="93">
        <f t="shared" ref="R3:R74" si="13">BU3-BV3</f>
        <v>0</v>
      </c>
      <c r="S3" s="85"/>
      <c r="T3" s="85"/>
      <c r="U3" s="93">
        <f t="shared" ref="U3:U74" si="14">BZ3-CA3</f>
        <v>0</v>
      </c>
      <c r="V3" s="75"/>
      <c r="W3" s="75"/>
      <c r="X3" s="93">
        <f t="shared" ref="X3:X74" si="15">CE3-CF3</f>
        <v>0</v>
      </c>
      <c r="Y3" s="93"/>
      <c r="Z3" s="93"/>
      <c r="AA3" s="93"/>
      <c r="AB3" s="97">
        <f t="shared" ref="AB3:AB74" si="16">SUM(F3,I3,L3,O3,R3,U3,X3)</f>
        <v>24</v>
      </c>
      <c r="AC3" s="94"/>
      <c r="AD3" s="78"/>
      <c r="AE3" s="95">
        <f t="shared" ref="AE3:AE74" si="17">SUMIF($BC$1:$CI$1,AE$1,$BC3:$CI3)+AD3</f>
        <v>24</v>
      </c>
      <c r="AF3" s="78"/>
      <c r="AG3" s="95">
        <f t="shared" ref="AG3:AG74" si="18">SUMIF($BC$1:$CI$1,AG$1,$BC3:$CI3)+AF3</f>
        <v>0</v>
      </c>
      <c r="AH3" s="78"/>
      <c r="AI3" s="95">
        <f t="shared" ref="AI3:AI74" si="19">SUMIF($BC$1:$CI$1,AI$1,$BC3:$CI3)+AH3</f>
        <v>0</v>
      </c>
      <c r="AJ3" s="77"/>
      <c r="AK3" s="95">
        <f t="shared" ref="AK3:AK74" si="20">SUMIF($BC$1:$CI$1,AK$1,$BC3:$CI3)+AJ3</f>
        <v>0</v>
      </c>
      <c r="AL3" s="78"/>
      <c r="AM3" s="95">
        <f t="shared" ref="AM3:AM74" si="21">SUMIF($BC$1:$CI$1,AM$1,$BC3:$CI3)+AL3</f>
        <v>0</v>
      </c>
      <c r="AN3" s="77"/>
      <c r="AO3" s="95">
        <f t="shared" ref="AO3:AO74" si="22">SUMIF($BC$1:$CI$1,AO$1,$BC3:$CI3)+AN3</f>
        <v>0</v>
      </c>
      <c r="AP3" s="96">
        <f t="shared" ref="AP3:AP74" si="23">CK3</f>
        <v>4</v>
      </c>
      <c r="AQ3" s="77"/>
      <c r="AR3" s="77"/>
      <c r="AS3" s="77"/>
      <c r="AT3" s="63">
        <f t="shared" ref="AT3:AT74" si="24">AE3+AG3+AI3+AK3+AM3+AO3+SUM(AQ3:AS3)</f>
        <v>24</v>
      </c>
      <c r="AU3" s="78"/>
      <c r="AV3" s="5"/>
      <c r="AW3" s="5"/>
      <c r="AX3" s="5"/>
      <c r="AY3" s="5"/>
      <c r="AZ3" s="24">
        <f>VLOOKUP(C3,Employees!D:I,6,FALSE)</f>
        <v>10298</v>
      </c>
      <c r="BA3" s="5">
        <f t="shared" ref="BA3:BA66" si="25">IF(ISBLANK(D3),0,(E3-D3)*24)</f>
        <v>5.0000000000000009</v>
      </c>
      <c r="BB3" s="5">
        <f t="shared" ref="BB3:BB66" si="26">IF(BA3&gt;$AY$1,1,IF(BA3&gt;=$AX$1,0.5,0))</f>
        <v>0</v>
      </c>
      <c r="BC3" s="5">
        <f t="shared" ref="BC3:BC66" si="27">BA3-BB3-BD3-BE3</f>
        <v>5.0000000000000009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7.5</v>
      </c>
      <c r="BG3" s="5">
        <f t="shared" ref="BG3:BG66" si="31">IF(BF3&gt;$AY$1,1,IF(BF3&gt;=$AX$1,0.5,0))</f>
        <v>0.5</v>
      </c>
      <c r="BH3" s="5">
        <f t="shared" ref="BH3:BH66" si="32">BF3-BG3-BI3-BJ3</f>
        <v>7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7.5</v>
      </c>
      <c r="BL3" s="5">
        <f t="shared" ref="BL3:BL66" si="36">IF(BK3&gt;$AY$1,1,IF(BK3&gt;=$AX$1,0.5,0))</f>
        <v>0.5</v>
      </c>
      <c r="BM3" s="5">
        <f t="shared" ref="BM3:BM66" si="37">BK3-BL3-BN3-BO3</f>
        <v>7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5.0000000000000009</v>
      </c>
      <c r="BQ3" s="5">
        <f t="shared" ref="BQ3:BQ66" si="41">IF(BP3&gt;$AY$1,1,IF(BP3&gt;=$AX$1,0.5,0))</f>
        <v>0</v>
      </c>
      <c r="BR3" s="5">
        <f t="shared" ref="BR3:BR66" si="42">BP3-BQ3-BS3-BT3</f>
        <v>5.0000000000000009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4</v>
      </c>
    </row>
    <row r="4" spans="1:89" ht="47" customHeight="1">
      <c r="A4" s="74" t="str">
        <f t="shared" si="0"/>
        <v/>
      </c>
      <c r="B4" s="81"/>
      <c r="C4" s="98"/>
      <c r="D4" s="75"/>
      <c r="E4" s="75"/>
      <c r="F4" s="93">
        <f t="shared" si="9"/>
        <v>0</v>
      </c>
      <c r="G4" s="100"/>
      <c r="H4" s="100"/>
      <c r="I4" s="93">
        <f t="shared" si="10"/>
        <v>0</v>
      </c>
      <c r="J4" s="100"/>
      <c r="K4" s="100"/>
      <c r="L4" s="93">
        <f t="shared" si="11"/>
        <v>0</v>
      </c>
      <c r="M4" s="75"/>
      <c r="N4" s="75"/>
      <c r="O4" s="93">
        <f t="shared" si="12"/>
        <v>0</v>
      </c>
      <c r="P4" s="75"/>
      <c r="Q4" s="75"/>
      <c r="R4" s="93">
        <f t="shared" si="13"/>
        <v>0</v>
      </c>
      <c r="S4" s="100"/>
      <c r="T4" s="100"/>
      <c r="U4" s="93">
        <f t="shared" si="14"/>
        <v>0</v>
      </c>
      <c r="V4" s="100"/>
      <c r="W4" s="100"/>
      <c r="X4" s="93">
        <f t="shared" si="15"/>
        <v>0</v>
      </c>
      <c r="Y4" s="93"/>
      <c r="Z4" s="93"/>
      <c r="AA4" s="93"/>
      <c r="AB4" s="97">
        <f t="shared" si="16"/>
        <v>0</v>
      </c>
      <c r="AC4" s="94"/>
      <c r="AD4" s="78"/>
      <c r="AE4" s="95">
        <f t="shared" si="17"/>
        <v>0</v>
      </c>
      <c r="AF4" s="78"/>
      <c r="AG4" s="95">
        <f t="shared" si="18"/>
        <v>0</v>
      </c>
      <c r="AH4" s="78"/>
      <c r="AI4" s="95">
        <f t="shared" si="19"/>
        <v>0</v>
      </c>
      <c r="AJ4" s="77"/>
      <c r="AK4" s="95">
        <f t="shared" si="20"/>
        <v>0</v>
      </c>
      <c r="AL4" s="78"/>
      <c r="AM4" s="95">
        <f t="shared" si="21"/>
        <v>0</v>
      </c>
      <c r="AN4" s="77"/>
      <c r="AO4" s="95">
        <f t="shared" si="22"/>
        <v>0</v>
      </c>
      <c r="AP4" s="96">
        <f t="shared" si="23"/>
        <v>0</v>
      </c>
      <c r="AQ4" s="77"/>
      <c r="AR4" s="77"/>
      <c r="AS4" s="77"/>
      <c r="AT4" s="63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 t="str">
        <f t="shared" si="0"/>
        <v/>
      </c>
      <c r="B5" s="81"/>
      <c r="C5" s="98"/>
      <c r="D5" s="100"/>
      <c r="E5" s="100"/>
      <c r="F5" s="93">
        <f t="shared" si="9"/>
        <v>0</v>
      </c>
      <c r="G5" s="75"/>
      <c r="H5" s="76"/>
      <c r="I5" s="93">
        <f t="shared" si="10"/>
        <v>0</v>
      </c>
      <c r="J5" s="76"/>
      <c r="K5" s="76"/>
      <c r="L5" s="93">
        <f t="shared" si="11"/>
        <v>0</v>
      </c>
      <c r="M5" s="75"/>
      <c r="N5" s="75"/>
      <c r="O5" s="93">
        <f t="shared" si="12"/>
        <v>0</v>
      </c>
      <c r="P5" s="75"/>
      <c r="Q5" s="75"/>
      <c r="R5" s="93">
        <f t="shared" si="13"/>
        <v>0</v>
      </c>
      <c r="S5" s="76"/>
      <c r="T5" s="75"/>
      <c r="U5" s="93">
        <f t="shared" si="14"/>
        <v>0</v>
      </c>
      <c r="V5" s="75"/>
      <c r="W5" s="76"/>
      <c r="X5" s="93">
        <f t="shared" si="15"/>
        <v>0</v>
      </c>
      <c r="Y5" s="93"/>
      <c r="Z5" s="93"/>
      <c r="AA5" s="93"/>
      <c r="AB5" s="97">
        <f t="shared" si="16"/>
        <v>0</v>
      </c>
      <c r="AC5" s="94"/>
      <c r="AD5" s="78"/>
      <c r="AE5" s="95">
        <f t="shared" si="17"/>
        <v>0</v>
      </c>
      <c r="AF5" s="78"/>
      <c r="AG5" s="95">
        <f t="shared" si="18"/>
        <v>0</v>
      </c>
      <c r="AH5" s="78"/>
      <c r="AI5" s="95">
        <f t="shared" si="19"/>
        <v>0</v>
      </c>
      <c r="AJ5" s="77"/>
      <c r="AK5" s="95">
        <f t="shared" si="20"/>
        <v>0</v>
      </c>
      <c r="AL5" s="78"/>
      <c r="AM5" s="95">
        <f t="shared" si="21"/>
        <v>0</v>
      </c>
      <c r="AN5" s="77"/>
      <c r="AO5" s="95">
        <f t="shared" si="22"/>
        <v>0</v>
      </c>
      <c r="AP5" s="96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>
        <f t="shared" si="0"/>
        <v>10301</v>
      </c>
      <c r="B6" s="81" t="s">
        <v>886</v>
      </c>
      <c r="C6" s="86" t="s">
        <v>1410</v>
      </c>
      <c r="D6" s="76"/>
      <c r="E6" s="75"/>
      <c r="F6" s="93">
        <f t="shared" si="9"/>
        <v>0</v>
      </c>
      <c r="G6" s="75"/>
      <c r="H6" s="76"/>
      <c r="I6" s="93">
        <f t="shared" si="10"/>
        <v>0</v>
      </c>
      <c r="J6" s="76"/>
      <c r="K6" s="76"/>
      <c r="L6" s="93">
        <f t="shared" si="11"/>
        <v>0</v>
      </c>
      <c r="M6" s="76"/>
      <c r="N6" s="76"/>
      <c r="O6" s="93">
        <f t="shared" si="12"/>
        <v>0</v>
      </c>
      <c r="P6" s="76"/>
      <c r="Q6" s="75"/>
      <c r="R6" s="93">
        <f t="shared" si="13"/>
        <v>0</v>
      </c>
      <c r="S6" s="84">
        <v>0.4375</v>
      </c>
      <c r="T6" s="84">
        <v>0.8125</v>
      </c>
      <c r="U6" s="93">
        <f t="shared" si="14"/>
        <v>8.5</v>
      </c>
      <c r="V6" s="84">
        <v>0.4375</v>
      </c>
      <c r="W6" s="84">
        <v>0.8125</v>
      </c>
      <c r="X6" s="93">
        <f t="shared" si="15"/>
        <v>8.5</v>
      </c>
      <c r="Y6" s="93"/>
      <c r="Z6" s="93"/>
      <c r="AA6" s="93"/>
      <c r="AB6" s="97">
        <f t="shared" si="16"/>
        <v>17</v>
      </c>
      <c r="AC6" s="94"/>
      <c r="AD6" s="78"/>
      <c r="AE6" s="95">
        <f t="shared" si="17"/>
        <v>0</v>
      </c>
      <c r="AF6" s="78"/>
      <c r="AG6" s="95">
        <f t="shared" si="18"/>
        <v>8.5</v>
      </c>
      <c r="AH6" s="78"/>
      <c r="AI6" s="95">
        <f t="shared" si="19"/>
        <v>8.5</v>
      </c>
      <c r="AJ6" s="77"/>
      <c r="AK6" s="95">
        <f t="shared" si="20"/>
        <v>0</v>
      </c>
      <c r="AL6" s="78"/>
      <c r="AM6" s="95">
        <f t="shared" si="21"/>
        <v>0</v>
      </c>
      <c r="AN6" s="77"/>
      <c r="AO6" s="95">
        <f t="shared" si="22"/>
        <v>0</v>
      </c>
      <c r="AP6" s="96">
        <f t="shared" si="23"/>
        <v>2</v>
      </c>
      <c r="AQ6" s="77"/>
      <c r="AR6" s="77"/>
      <c r="AS6" s="77"/>
      <c r="AT6" s="63">
        <f t="shared" si="24"/>
        <v>17</v>
      </c>
      <c r="AU6" s="78"/>
      <c r="AV6" s="5"/>
      <c r="AW6" s="5"/>
      <c r="AX6" s="5"/>
      <c r="AY6" s="5"/>
      <c r="AZ6" s="24">
        <f>VLOOKUP(C6,Employees!D:I,6,FALSE)</f>
        <v>10301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9</v>
      </c>
      <c r="CA6" s="5">
        <f t="shared" si="51"/>
        <v>0.5</v>
      </c>
      <c r="CB6" s="5">
        <f t="shared" si="52"/>
        <v>8.5</v>
      </c>
      <c r="CC6" s="5">
        <f t="shared" si="53"/>
        <v>0</v>
      </c>
      <c r="CD6" s="5">
        <f t="shared" si="54"/>
        <v>0</v>
      </c>
      <c r="CE6" s="5">
        <f t="shared" si="55"/>
        <v>9</v>
      </c>
      <c r="CF6" s="5">
        <f t="shared" si="56"/>
        <v>0.5</v>
      </c>
      <c r="CG6" s="5">
        <f t="shared" si="57"/>
        <v>8.5</v>
      </c>
      <c r="CH6" s="5">
        <f t="shared" si="58"/>
        <v>0</v>
      </c>
      <c r="CI6" s="5">
        <f t="shared" si="59"/>
        <v>0</v>
      </c>
      <c r="CJ6" s="5"/>
      <c r="CK6" s="4">
        <f t="shared" si="8"/>
        <v>2</v>
      </c>
    </row>
    <row r="7" spans="1:89" ht="47" customHeight="1">
      <c r="A7" s="74">
        <f t="shared" si="0"/>
        <v>210524</v>
      </c>
      <c r="B7" s="81" t="s">
        <v>886</v>
      </c>
      <c r="C7" s="86" t="s">
        <v>1414</v>
      </c>
      <c r="D7" s="76"/>
      <c r="E7" s="76"/>
      <c r="F7" s="93">
        <f t="shared" si="9"/>
        <v>0</v>
      </c>
      <c r="G7" s="76"/>
      <c r="H7" s="76"/>
      <c r="I7" s="93">
        <f t="shared" si="10"/>
        <v>0</v>
      </c>
      <c r="J7" s="76"/>
      <c r="K7" s="76"/>
      <c r="L7" s="93">
        <f t="shared" si="11"/>
        <v>0</v>
      </c>
      <c r="M7" s="76"/>
      <c r="N7" s="76"/>
      <c r="O7" s="93">
        <f t="shared" si="12"/>
        <v>0</v>
      </c>
      <c r="P7" s="76"/>
      <c r="Q7" s="75"/>
      <c r="R7" s="93">
        <f t="shared" si="13"/>
        <v>0</v>
      </c>
      <c r="S7" s="76">
        <v>0.5</v>
      </c>
      <c r="T7" s="85">
        <v>0.95833333333333337</v>
      </c>
      <c r="U7" s="93">
        <f t="shared" si="14"/>
        <v>10</v>
      </c>
      <c r="V7" s="75"/>
      <c r="W7" s="76"/>
      <c r="X7" s="93">
        <f t="shared" si="15"/>
        <v>0</v>
      </c>
      <c r="Y7" s="93"/>
      <c r="Z7" s="93"/>
      <c r="AA7" s="93"/>
      <c r="AB7" s="97">
        <f t="shared" si="16"/>
        <v>10</v>
      </c>
      <c r="AC7" s="94"/>
      <c r="AD7" s="78"/>
      <c r="AE7" s="95">
        <f t="shared" si="17"/>
        <v>0</v>
      </c>
      <c r="AF7" s="77"/>
      <c r="AG7" s="95">
        <f t="shared" si="18"/>
        <v>10</v>
      </c>
      <c r="AH7" s="78"/>
      <c r="AI7" s="95">
        <f t="shared" si="19"/>
        <v>0</v>
      </c>
      <c r="AJ7" s="77"/>
      <c r="AK7" s="95">
        <f t="shared" si="20"/>
        <v>0</v>
      </c>
      <c r="AL7" s="78"/>
      <c r="AM7" s="95">
        <f t="shared" si="21"/>
        <v>0</v>
      </c>
      <c r="AN7" s="77"/>
      <c r="AO7" s="95">
        <f t="shared" si="22"/>
        <v>0</v>
      </c>
      <c r="AP7" s="96">
        <f t="shared" si="23"/>
        <v>1</v>
      </c>
      <c r="AQ7" s="77"/>
      <c r="AR7" s="77"/>
      <c r="AS7" s="77"/>
      <c r="AT7" s="63">
        <f t="shared" si="24"/>
        <v>10</v>
      </c>
      <c r="AU7" s="78"/>
      <c r="AV7" s="5"/>
      <c r="AW7" s="5"/>
      <c r="AX7" s="5"/>
      <c r="AY7" s="5"/>
      <c r="AZ7" s="24">
        <f>VLOOKUP(C7,Employees!D:I,6,FALSE)</f>
        <v>210524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11</v>
      </c>
      <c r="CA7" s="5">
        <f t="shared" si="51"/>
        <v>1</v>
      </c>
      <c r="CB7" s="5">
        <f t="shared" si="52"/>
        <v>8.9999999999999982</v>
      </c>
      <c r="CC7" s="5">
        <f t="shared" si="53"/>
        <v>1.0000000000000018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>
        <f t="shared" si="0"/>
        <v>10417</v>
      </c>
      <c r="B8" s="81" t="s">
        <v>886</v>
      </c>
      <c r="C8" s="86" t="s">
        <v>1147</v>
      </c>
      <c r="D8" s="76"/>
      <c r="E8" s="76"/>
      <c r="F8" s="93">
        <f t="shared" si="9"/>
        <v>0</v>
      </c>
      <c r="G8" s="76"/>
      <c r="H8" s="75"/>
      <c r="I8" s="93">
        <f t="shared" si="10"/>
        <v>0</v>
      </c>
      <c r="J8" s="76"/>
      <c r="K8" s="75"/>
      <c r="L8" s="93">
        <f t="shared" si="11"/>
        <v>0</v>
      </c>
      <c r="M8" s="76"/>
      <c r="N8" s="75"/>
      <c r="O8" s="93">
        <f t="shared" si="12"/>
        <v>0</v>
      </c>
      <c r="P8" s="76"/>
      <c r="Q8" s="76"/>
      <c r="R8" s="93">
        <f t="shared" si="13"/>
        <v>0</v>
      </c>
      <c r="S8" s="76"/>
      <c r="T8" s="76"/>
      <c r="U8" s="93">
        <f t="shared" si="14"/>
        <v>0</v>
      </c>
      <c r="V8" s="76"/>
      <c r="W8" s="76"/>
      <c r="X8" s="93">
        <f t="shared" si="15"/>
        <v>0</v>
      </c>
      <c r="Y8" s="93"/>
      <c r="Z8" s="93"/>
      <c r="AA8" s="93"/>
      <c r="AB8" s="97">
        <f t="shared" si="16"/>
        <v>0</v>
      </c>
      <c r="AC8" s="94"/>
      <c r="AD8" s="78"/>
      <c r="AE8" s="95">
        <f t="shared" si="17"/>
        <v>0</v>
      </c>
      <c r="AF8" s="77"/>
      <c r="AG8" s="95">
        <f t="shared" si="18"/>
        <v>0</v>
      </c>
      <c r="AH8" s="78"/>
      <c r="AI8" s="95">
        <f t="shared" si="19"/>
        <v>0</v>
      </c>
      <c r="AJ8" s="77"/>
      <c r="AK8" s="95">
        <f t="shared" si="20"/>
        <v>0</v>
      </c>
      <c r="AL8" s="78"/>
      <c r="AM8" s="95">
        <f t="shared" si="21"/>
        <v>0</v>
      </c>
      <c r="AN8" s="77"/>
      <c r="AO8" s="95">
        <f t="shared" si="22"/>
        <v>0</v>
      </c>
      <c r="AP8" s="96">
        <f t="shared" si="23"/>
        <v>0</v>
      </c>
      <c r="AQ8" s="77"/>
      <c r="AR8" s="77">
        <v>24</v>
      </c>
      <c r="AS8" s="77"/>
      <c r="AT8" s="63">
        <f t="shared" si="24"/>
        <v>24</v>
      </c>
      <c r="AU8" s="78"/>
      <c r="AV8" s="5"/>
      <c r="AW8" s="5"/>
      <c r="AX8" s="5"/>
      <c r="AY8" s="5"/>
      <c r="AZ8" s="24">
        <f>VLOOKUP(C8,Employees!D:I,6,FALSE)</f>
        <v>10417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6"/>
      <c r="D9" s="76"/>
      <c r="E9" s="75"/>
      <c r="F9" s="93">
        <f t="shared" si="9"/>
        <v>0</v>
      </c>
      <c r="G9" s="75"/>
      <c r="H9" s="76"/>
      <c r="I9" s="93">
        <f t="shared" si="10"/>
        <v>0</v>
      </c>
      <c r="J9" s="76"/>
      <c r="K9" s="76"/>
      <c r="L9" s="93">
        <f t="shared" si="11"/>
        <v>0</v>
      </c>
      <c r="M9" s="75"/>
      <c r="N9" s="75"/>
      <c r="O9" s="93">
        <f t="shared" si="12"/>
        <v>0</v>
      </c>
      <c r="P9" s="76"/>
      <c r="Q9" s="75"/>
      <c r="R9" s="93">
        <f t="shared" si="13"/>
        <v>0</v>
      </c>
      <c r="S9" s="76"/>
      <c r="T9" s="75"/>
      <c r="U9" s="93">
        <f t="shared" si="14"/>
        <v>0</v>
      </c>
      <c r="V9" s="75"/>
      <c r="W9" s="76"/>
      <c r="X9" s="93">
        <f t="shared" si="15"/>
        <v>0</v>
      </c>
      <c r="Y9" s="93"/>
      <c r="Z9" s="93"/>
      <c r="AA9" s="93"/>
      <c r="AB9" s="97">
        <f t="shared" si="16"/>
        <v>0</v>
      </c>
      <c r="AC9" s="94"/>
      <c r="AD9" s="78"/>
      <c r="AE9" s="95">
        <f t="shared" si="17"/>
        <v>0</v>
      </c>
      <c r="AF9" s="77"/>
      <c r="AG9" s="95">
        <f t="shared" si="18"/>
        <v>0</v>
      </c>
      <c r="AH9" s="78"/>
      <c r="AI9" s="95">
        <f t="shared" si="19"/>
        <v>0</v>
      </c>
      <c r="AJ9" s="77"/>
      <c r="AK9" s="95">
        <f t="shared" si="20"/>
        <v>0</v>
      </c>
      <c r="AL9" s="78"/>
      <c r="AM9" s="95">
        <f t="shared" si="21"/>
        <v>0</v>
      </c>
      <c r="AN9" s="77"/>
      <c r="AO9" s="95">
        <f t="shared" si="22"/>
        <v>0</v>
      </c>
      <c r="AP9" s="96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6"/>
      <c r="D10" s="76"/>
      <c r="E10" s="75"/>
      <c r="F10" s="93">
        <f t="shared" si="9"/>
        <v>0</v>
      </c>
      <c r="G10" s="75"/>
      <c r="H10" s="76"/>
      <c r="I10" s="93">
        <f t="shared" si="10"/>
        <v>0</v>
      </c>
      <c r="J10" s="76"/>
      <c r="K10" s="76"/>
      <c r="L10" s="93">
        <f t="shared" si="11"/>
        <v>0</v>
      </c>
      <c r="M10" s="75"/>
      <c r="N10" s="75"/>
      <c r="O10" s="93">
        <f t="shared" si="12"/>
        <v>0</v>
      </c>
      <c r="P10" s="76"/>
      <c r="Q10" s="75"/>
      <c r="R10" s="93">
        <f t="shared" si="13"/>
        <v>0</v>
      </c>
      <c r="S10" s="76"/>
      <c r="T10" s="75"/>
      <c r="U10" s="93">
        <f t="shared" si="14"/>
        <v>0</v>
      </c>
      <c r="V10" s="75"/>
      <c r="W10" s="76"/>
      <c r="X10" s="93">
        <f t="shared" si="15"/>
        <v>0</v>
      </c>
      <c r="Y10" s="93"/>
      <c r="Z10" s="93"/>
      <c r="AA10" s="93"/>
      <c r="AB10" s="97">
        <f t="shared" si="16"/>
        <v>0</v>
      </c>
      <c r="AC10" s="94"/>
      <c r="AD10" s="78"/>
      <c r="AE10" s="95">
        <f t="shared" si="17"/>
        <v>0</v>
      </c>
      <c r="AF10" s="77"/>
      <c r="AG10" s="95">
        <f t="shared" si="18"/>
        <v>0</v>
      </c>
      <c r="AH10" s="78"/>
      <c r="AI10" s="95">
        <f t="shared" si="19"/>
        <v>0</v>
      </c>
      <c r="AJ10" s="77"/>
      <c r="AK10" s="95">
        <f t="shared" si="20"/>
        <v>0</v>
      </c>
      <c r="AL10" s="78"/>
      <c r="AM10" s="95">
        <f t="shared" si="21"/>
        <v>0</v>
      </c>
      <c r="AN10" s="77"/>
      <c r="AO10" s="95">
        <f t="shared" si="22"/>
        <v>0</v>
      </c>
      <c r="AP10" s="96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6"/>
      <c r="D11" s="76"/>
      <c r="E11" s="75"/>
      <c r="F11" s="93">
        <f t="shared" si="9"/>
        <v>0</v>
      </c>
      <c r="G11" s="75"/>
      <c r="H11" s="76"/>
      <c r="I11" s="93">
        <f t="shared" si="10"/>
        <v>0</v>
      </c>
      <c r="J11" s="76"/>
      <c r="K11" s="76"/>
      <c r="L11" s="93">
        <f t="shared" si="11"/>
        <v>0</v>
      </c>
      <c r="M11" s="75"/>
      <c r="N11" s="75"/>
      <c r="O11" s="93">
        <f t="shared" si="12"/>
        <v>0</v>
      </c>
      <c r="P11" s="76"/>
      <c r="Q11" s="75"/>
      <c r="R11" s="93">
        <f t="shared" si="13"/>
        <v>0</v>
      </c>
      <c r="S11" s="76"/>
      <c r="T11" s="75"/>
      <c r="U11" s="93">
        <f t="shared" si="14"/>
        <v>0</v>
      </c>
      <c r="V11" s="75"/>
      <c r="W11" s="76"/>
      <c r="X11" s="93">
        <f t="shared" si="15"/>
        <v>0</v>
      </c>
      <c r="Y11" s="93"/>
      <c r="Z11" s="93"/>
      <c r="AA11" s="93"/>
      <c r="AB11" s="97">
        <f t="shared" si="16"/>
        <v>0</v>
      </c>
      <c r="AC11" s="94"/>
      <c r="AD11" s="78"/>
      <c r="AE11" s="95">
        <f t="shared" si="17"/>
        <v>0</v>
      </c>
      <c r="AF11" s="77"/>
      <c r="AG11" s="95">
        <f t="shared" si="18"/>
        <v>0</v>
      </c>
      <c r="AH11" s="78"/>
      <c r="AI11" s="95">
        <f t="shared" si="19"/>
        <v>0</v>
      </c>
      <c r="AJ11" s="77"/>
      <c r="AK11" s="95">
        <f t="shared" si="20"/>
        <v>0</v>
      </c>
      <c r="AL11" s="78"/>
      <c r="AM11" s="95">
        <f t="shared" si="21"/>
        <v>0</v>
      </c>
      <c r="AN11" s="77"/>
      <c r="AO11" s="95">
        <f t="shared" si="22"/>
        <v>0</v>
      </c>
      <c r="AP11" s="96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3">
        <f t="shared" si="9"/>
        <v>0</v>
      </c>
      <c r="G12" s="75"/>
      <c r="H12" s="76"/>
      <c r="I12" s="93">
        <f t="shared" si="10"/>
        <v>0</v>
      </c>
      <c r="J12" s="76"/>
      <c r="K12" s="76"/>
      <c r="L12" s="93">
        <f t="shared" si="11"/>
        <v>0</v>
      </c>
      <c r="M12" s="75"/>
      <c r="N12" s="75"/>
      <c r="O12" s="93">
        <f t="shared" si="12"/>
        <v>0</v>
      </c>
      <c r="P12" s="76"/>
      <c r="Q12" s="75"/>
      <c r="R12" s="93">
        <f t="shared" si="13"/>
        <v>0</v>
      </c>
      <c r="S12" s="76"/>
      <c r="T12" s="75"/>
      <c r="U12" s="93">
        <f t="shared" si="14"/>
        <v>0</v>
      </c>
      <c r="V12" s="75"/>
      <c r="W12" s="76"/>
      <c r="X12" s="93">
        <f t="shared" si="15"/>
        <v>0</v>
      </c>
      <c r="Y12" s="93"/>
      <c r="Z12" s="93"/>
      <c r="AA12" s="93"/>
      <c r="AB12" s="97">
        <f t="shared" si="16"/>
        <v>0</v>
      </c>
      <c r="AC12" s="94"/>
      <c r="AD12" s="78"/>
      <c r="AE12" s="95">
        <f t="shared" si="17"/>
        <v>0</v>
      </c>
      <c r="AF12" s="77"/>
      <c r="AG12" s="95">
        <f t="shared" si="18"/>
        <v>0</v>
      </c>
      <c r="AH12" s="77"/>
      <c r="AI12" s="95">
        <f t="shared" si="19"/>
        <v>0</v>
      </c>
      <c r="AJ12" s="77"/>
      <c r="AK12" s="95">
        <f t="shared" si="20"/>
        <v>0</v>
      </c>
      <c r="AL12" s="78"/>
      <c r="AM12" s="95">
        <f t="shared" si="21"/>
        <v>0</v>
      </c>
      <c r="AN12" s="77"/>
      <c r="AO12" s="95">
        <f t="shared" si="22"/>
        <v>0</v>
      </c>
      <c r="AP12" s="96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3">
        <f t="shared" si="9"/>
        <v>0</v>
      </c>
      <c r="G13" s="75"/>
      <c r="H13" s="76"/>
      <c r="I13" s="93">
        <f t="shared" si="10"/>
        <v>0</v>
      </c>
      <c r="J13" s="76"/>
      <c r="K13" s="76"/>
      <c r="L13" s="93">
        <f t="shared" si="11"/>
        <v>0</v>
      </c>
      <c r="M13" s="75"/>
      <c r="N13" s="75"/>
      <c r="O13" s="93">
        <f t="shared" si="12"/>
        <v>0</v>
      </c>
      <c r="P13" s="76"/>
      <c r="Q13" s="75"/>
      <c r="R13" s="93">
        <f t="shared" si="13"/>
        <v>0</v>
      </c>
      <c r="S13" s="76"/>
      <c r="T13" s="75"/>
      <c r="U13" s="93">
        <f t="shared" si="14"/>
        <v>0</v>
      </c>
      <c r="V13" s="75"/>
      <c r="W13" s="76"/>
      <c r="X13" s="93">
        <f t="shared" si="15"/>
        <v>0</v>
      </c>
      <c r="Y13" s="93"/>
      <c r="Z13" s="93"/>
      <c r="AA13" s="93"/>
      <c r="AB13" s="97">
        <f t="shared" si="16"/>
        <v>0</v>
      </c>
      <c r="AC13" s="94"/>
      <c r="AD13" s="77"/>
      <c r="AE13" s="95">
        <f t="shared" si="17"/>
        <v>0</v>
      </c>
      <c r="AF13" s="77"/>
      <c r="AG13" s="95">
        <f t="shared" si="18"/>
        <v>0</v>
      </c>
      <c r="AH13" s="77"/>
      <c r="AI13" s="95">
        <f t="shared" si="19"/>
        <v>0</v>
      </c>
      <c r="AJ13" s="77"/>
      <c r="AK13" s="95">
        <f t="shared" si="20"/>
        <v>0</v>
      </c>
      <c r="AL13" s="78"/>
      <c r="AM13" s="95">
        <f t="shared" si="21"/>
        <v>0</v>
      </c>
      <c r="AN13" s="77"/>
      <c r="AO13" s="95">
        <f t="shared" si="22"/>
        <v>0</v>
      </c>
      <c r="AP13" s="96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3">
        <f t="shared" si="9"/>
        <v>0</v>
      </c>
      <c r="G14" s="75"/>
      <c r="H14" s="76"/>
      <c r="I14" s="93">
        <f t="shared" si="10"/>
        <v>0</v>
      </c>
      <c r="J14" s="76"/>
      <c r="K14" s="76"/>
      <c r="L14" s="93">
        <f t="shared" si="11"/>
        <v>0</v>
      </c>
      <c r="M14" s="75"/>
      <c r="N14" s="75"/>
      <c r="O14" s="93">
        <f t="shared" si="12"/>
        <v>0</v>
      </c>
      <c r="P14" s="76"/>
      <c r="Q14" s="75"/>
      <c r="R14" s="93">
        <f t="shared" si="13"/>
        <v>0</v>
      </c>
      <c r="S14" s="76"/>
      <c r="T14" s="75"/>
      <c r="U14" s="93">
        <f t="shared" si="14"/>
        <v>0</v>
      </c>
      <c r="V14" s="75"/>
      <c r="W14" s="76"/>
      <c r="X14" s="93">
        <f t="shared" si="15"/>
        <v>0</v>
      </c>
      <c r="Y14" s="93"/>
      <c r="Z14" s="93"/>
      <c r="AA14" s="93"/>
      <c r="AB14" s="97">
        <f t="shared" si="16"/>
        <v>0</v>
      </c>
      <c r="AC14" s="94"/>
      <c r="AD14" s="77"/>
      <c r="AE14" s="95">
        <f t="shared" si="17"/>
        <v>0</v>
      </c>
      <c r="AF14" s="77"/>
      <c r="AG14" s="95">
        <f t="shared" si="18"/>
        <v>0</v>
      </c>
      <c r="AH14" s="77"/>
      <c r="AI14" s="95">
        <f t="shared" si="19"/>
        <v>0</v>
      </c>
      <c r="AJ14" s="77"/>
      <c r="AK14" s="95">
        <f t="shared" si="20"/>
        <v>0</v>
      </c>
      <c r="AL14" s="78"/>
      <c r="AM14" s="95">
        <f t="shared" si="21"/>
        <v>0</v>
      </c>
      <c r="AN14" s="77"/>
      <c r="AO14" s="95">
        <f t="shared" si="22"/>
        <v>0</v>
      </c>
      <c r="AP14" s="96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3">
        <f t="shared" si="9"/>
        <v>0</v>
      </c>
      <c r="G15" s="75"/>
      <c r="H15" s="76"/>
      <c r="I15" s="93">
        <f t="shared" si="10"/>
        <v>0</v>
      </c>
      <c r="J15" s="76"/>
      <c r="K15" s="76"/>
      <c r="L15" s="93">
        <f t="shared" si="11"/>
        <v>0</v>
      </c>
      <c r="M15" s="75"/>
      <c r="N15" s="75"/>
      <c r="O15" s="93">
        <f t="shared" si="12"/>
        <v>0</v>
      </c>
      <c r="P15" s="76"/>
      <c r="Q15" s="75"/>
      <c r="R15" s="93">
        <f t="shared" si="13"/>
        <v>0</v>
      </c>
      <c r="S15" s="76"/>
      <c r="T15" s="75"/>
      <c r="U15" s="93">
        <f t="shared" si="14"/>
        <v>0</v>
      </c>
      <c r="V15" s="75"/>
      <c r="W15" s="76"/>
      <c r="X15" s="93">
        <f t="shared" si="15"/>
        <v>0</v>
      </c>
      <c r="Y15" s="93"/>
      <c r="Z15" s="93"/>
      <c r="AA15" s="93"/>
      <c r="AB15" s="97">
        <f t="shared" si="16"/>
        <v>0</v>
      </c>
      <c r="AC15" s="94"/>
      <c r="AD15" s="77"/>
      <c r="AE15" s="95">
        <f t="shared" si="17"/>
        <v>0</v>
      </c>
      <c r="AF15" s="77"/>
      <c r="AG15" s="95">
        <f t="shared" si="18"/>
        <v>0</v>
      </c>
      <c r="AH15" s="77"/>
      <c r="AI15" s="95">
        <f t="shared" si="19"/>
        <v>0</v>
      </c>
      <c r="AJ15" s="77"/>
      <c r="AK15" s="95">
        <f t="shared" si="20"/>
        <v>0</v>
      </c>
      <c r="AL15" s="78"/>
      <c r="AM15" s="95">
        <f t="shared" si="21"/>
        <v>0</v>
      </c>
      <c r="AN15" s="77"/>
      <c r="AO15" s="95">
        <f t="shared" si="22"/>
        <v>0</v>
      </c>
      <c r="AP15" s="96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3">
        <f t="shared" si="9"/>
        <v>0</v>
      </c>
      <c r="G16" s="75"/>
      <c r="H16" s="76"/>
      <c r="I16" s="93">
        <f>BF16-BG16</f>
        <v>0</v>
      </c>
      <c r="J16" s="76"/>
      <c r="K16" s="76"/>
      <c r="L16" s="93">
        <f t="shared" si="11"/>
        <v>0</v>
      </c>
      <c r="M16" s="75"/>
      <c r="N16" s="75"/>
      <c r="O16" s="93">
        <f t="shared" si="12"/>
        <v>0</v>
      </c>
      <c r="P16" s="76"/>
      <c r="Q16" s="75"/>
      <c r="R16" s="93">
        <f t="shared" si="13"/>
        <v>0</v>
      </c>
      <c r="S16" s="76"/>
      <c r="T16" s="75"/>
      <c r="U16" s="93">
        <f t="shared" si="14"/>
        <v>0</v>
      </c>
      <c r="V16" s="75"/>
      <c r="W16" s="76"/>
      <c r="X16" s="93">
        <f t="shared" si="15"/>
        <v>0</v>
      </c>
      <c r="Y16" s="93"/>
      <c r="Z16" s="93"/>
      <c r="AA16" s="93"/>
      <c r="AB16" s="97">
        <f t="shared" si="16"/>
        <v>0</v>
      </c>
      <c r="AC16" s="94"/>
      <c r="AD16" s="77"/>
      <c r="AE16" s="95">
        <f t="shared" si="17"/>
        <v>0</v>
      </c>
      <c r="AF16" s="77"/>
      <c r="AG16" s="95">
        <f t="shared" si="18"/>
        <v>0</v>
      </c>
      <c r="AH16" s="77"/>
      <c r="AI16" s="95">
        <f t="shared" si="19"/>
        <v>0</v>
      </c>
      <c r="AJ16" s="77"/>
      <c r="AK16" s="95">
        <f t="shared" si="20"/>
        <v>0</v>
      </c>
      <c r="AL16" s="78"/>
      <c r="AM16" s="95">
        <f t="shared" si="21"/>
        <v>0</v>
      </c>
      <c r="AN16" s="77"/>
      <c r="AO16" s="95">
        <f t="shared" si="22"/>
        <v>0</v>
      </c>
      <c r="AP16" s="96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3">
        <f t="shared" si="9"/>
        <v>0</v>
      </c>
      <c r="G17" s="75"/>
      <c r="H17" s="76"/>
      <c r="I17" s="93">
        <f t="shared" si="10"/>
        <v>0</v>
      </c>
      <c r="J17" s="76"/>
      <c r="K17" s="76"/>
      <c r="L17" s="93">
        <f t="shared" si="11"/>
        <v>0</v>
      </c>
      <c r="M17" s="75"/>
      <c r="N17" s="75"/>
      <c r="O17" s="93">
        <f t="shared" si="12"/>
        <v>0</v>
      </c>
      <c r="P17" s="76"/>
      <c r="Q17" s="75"/>
      <c r="R17" s="93">
        <f t="shared" si="13"/>
        <v>0</v>
      </c>
      <c r="S17" s="76"/>
      <c r="T17" s="75"/>
      <c r="U17" s="93">
        <f t="shared" si="14"/>
        <v>0</v>
      </c>
      <c r="V17" s="75"/>
      <c r="W17" s="76"/>
      <c r="X17" s="93">
        <f t="shared" si="15"/>
        <v>0</v>
      </c>
      <c r="Y17" s="93"/>
      <c r="Z17" s="93"/>
      <c r="AA17" s="93"/>
      <c r="AB17" s="97">
        <f t="shared" si="16"/>
        <v>0</v>
      </c>
      <c r="AC17" s="94"/>
      <c r="AD17" s="77"/>
      <c r="AE17" s="95">
        <f t="shared" si="17"/>
        <v>0</v>
      </c>
      <c r="AF17" s="77"/>
      <c r="AG17" s="95">
        <f t="shared" si="18"/>
        <v>0</v>
      </c>
      <c r="AH17" s="77"/>
      <c r="AI17" s="95">
        <f t="shared" si="19"/>
        <v>0</v>
      </c>
      <c r="AJ17" s="77"/>
      <c r="AK17" s="95">
        <f t="shared" si="20"/>
        <v>0</v>
      </c>
      <c r="AL17" s="78"/>
      <c r="AM17" s="95">
        <f t="shared" si="21"/>
        <v>0</v>
      </c>
      <c r="AN17" s="77"/>
      <c r="AO17" s="95">
        <f t="shared" si="22"/>
        <v>0</v>
      </c>
      <c r="AP17" s="96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3">
        <f t="shared" si="9"/>
        <v>0</v>
      </c>
      <c r="G18" s="75"/>
      <c r="H18" s="76"/>
      <c r="I18" s="93">
        <f t="shared" si="10"/>
        <v>0</v>
      </c>
      <c r="J18" s="76"/>
      <c r="K18" s="76"/>
      <c r="L18" s="93">
        <f t="shared" si="11"/>
        <v>0</v>
      </c>
      <c r="M18" s="75"/>
      <c r="N18" s="75"/>
      <c r="O18" s="93">
        <f t="shared" si="12"/>
        <v>0</v>
      </c>
      <c r="P18" s="76"/>
      <c r="Q18" s="75"/>
      <c r="R18" s="93">
        <f t="shared" si="13"/>
        <v>0</v>
      </c>
      <c r="S18" s="76"/>
      <c r="T18" s="75"/>
      <c r="U18" s="93">
        <f t="shared" si="14"/>
        <v>0</v>
      </c>
      <c r="V18" s="75"/>
      <c r="W18" s="76"/>
      <c r="X18" s="93">
        <f t="shared" si="15"/>
        <v>0</v>
      </c>
      <c r="Y18" s="93"/>
      <c r="Z18" s="93"/>
      <c r="AA18" s="93"/>
      <c r="AB18" s="97">
        <f t="shared" si="16"/>
        <v>0</v>
      </c>
      <c r="AC18" s="94"/>
      <c r="AD18" s="77"/>
      <c r="AE18" s="95">
        <f t="shared" si="17"/>
        <v>0</v>
      </c>
      <c r="AF18" s="77"/>
      <c r="AG18" s="95">
        <f t="shared" si="18"/>
        <v>0</v>
      </c>
      <c r="AH18" s="77"/>
      <c r="AI18" s="95">
        <f t="shared" si="19"/>
        <v>0</v>
      </c>
      <c r="AJ18" s="77"/>
      <c r="AK18" s="95">
        <f t="shared" si="20"/>
        <v>0</v>
      </c>
      <c r="AL18" s="78"/>
      <c r="AM18" s="95">
        <f t="shared" si="21"/>
        <v>0</v>
      </c>
      <c r="AN18" s="77"/>
      <c r="AO18" s="95">
        <f t="shared" si="22"/>
        <v>0</v>
      </c>
      <c r="AP18" s="96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3">
        <f t="shared" si="9"/>
        <v>0</v>
      </c>
      <c r="G19" s="75"/>
      <c r="H19" s="76"/>
      <c r="I19" s="93">
        <f t="shared" si="10"/>
        <v>0</v>
      </c>
      <c r="J19" s="76"/>
      <c r="K19" s="76"/>
      <c r="L19" s="93">
        <f t="shared" si="11"/>
        <v>0</v>
      </c>
      <c r="M19" s="75"/>
      <c r="N19" s="75"/>
      <c r="O19" s="93">
        <f t="shared" si="12"/>
        <v>0</v>
      </c>
      <c r="P19" s="76"/>
      <c r="Q19" s="75"/>
      <c r="R19" s="93">
        <f t="shared" si="13"/>
        <v>0</v>
      </c>
      <c r="S19" s="76"/>
      <c r="T19" s="75"/>
      <c r="U19" s="93">
        <f t="shared" si="14"/>
        <v>0</v>
      </c>
      <c r="V19" s="75"/>
      <c r="W19" s="76"/>
      <c r="X19" s="93">
        <f t="shared" si="15"/>
        <v>0</v>
      </c>
      <c r="Y19" s="93"/>
      <c r="Z19" s="93"/>
      <c r="AA19" s="93"/>
      <c r="AB19" s="97">
        <f t="shared" si="16"/>
        <v>0</v>
      </c>
      <c r="AC19" s="94"/>
      <c r="AD19" s="77"/>
      <c r="AE19" s="95">
        <f t="shared" si="17"/>
        <v>0</v>
      </c>
      <c r="AF19" s="77"/>
      <c r="AG19" s="95">
        <f t="shared" si="18"/>
        <v>0</v>
      </c>
      <c r="AH19" s="77"/>
      <c r="AI19" s="95">
        <f t="shared" si="19"/>
        <v>0</v>
      </c>
      <c r="AJ19" s="77"/>
      <c r="AK19" s="95">
        <f t="shared" si="20"/>
        <v>0</v>
      </c>
      <c r="AL19" s="78"/>
      <c r="AM19" s="95">
        <f t="shared" si="21"/>
        <v>0</v>
      </c>
      <c r="AN19" s="77"/>
      <c r="AO19" s="95">
        <f t="shared" si="22"/>
        <v>0</v>
      </c>
      <c r="AP19" s="96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3">
        <f t="shared" si="9"/>
        <v>0</v>
      </c>
      <c r="G20" s="75"/>
      <c r="H20" s="76"/>
      <c r="I20" s="93">
        <f t="shared" si="10"/>
        <v>0</v>
      </c>
      <c r="J20" s="76"/>
      <c r="K20" s="76"/>
      <c r="L20" s="93">
        <f t="shared" si="11"/>
        <v>0</v>
      </c>
      <c r="M20" s="75"/>
      <c r="N20" s="75"/>
      <c r="O20" s="93">
        <f t="shared" si="12"/>
        <v>0</v>
      </c>
      <c r="P20" s="76"/>
      <c r="Q20" s="75"/>
      <c r="R20" s="93">
        <f t="shared" si="13"/>
        <v>0</v>
      </c>
      <c r="S20" s="76"/>
      <c r="T20" s="75"/>
      <c r="U20" s="93">
        <f t="shared" si="14"/>
        <v>0</v>
      </c>
      <c r="V20" s="75"/>
      <c r="W20" s="76"/>
      <c r="X20" s="93">
        <f t="shared" si="15"/>
        <v>0</v>
      </c>
      <c r="Y20" s="93"/>
      <c r="Z20" s="93"/>
      <c r="AA20" s="93"/>
      <c r="AB20" s="97">
        <f t="shared" si="16"/>
        <v>0</v>
      </c>
      <c r="AC20" s="94"/>
      <c r="AD20" s="77"/>
      <c r="AE20" s="95">
        <f t="shared" si="17"/>
        <v>0</v>
      </c>
      <c r="AF20" s="77"/>
      <c r="AG20" s="95">
        <f t="shared" si="18"/>
        <v>0</v>
      </c>
      <c r="AH20" s="77"/>
      <c r="AI20" s="95">
        <f t="shared" si="19"/>
        <v>0</v>
      </c>
      <c r="AJ20" s="77"/>
      <c r="AK20" s="95">
        <f t="shared" si="20"/>
        <v>0</v>
      </c>
      <c r="AL20" s="78"/>
      <c r="AM20" s="95">
        <f t="shared" si="21"/>
        <v>0</v>
      </c>
      <c r="AN20" s="77"/>
      <c r="AO20" s="95">
        <f t="shared" si="22"/>
        <v>0</v>
      </c>
      <c r="AP20" s="96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3">
        <f t="shared" ref="F21:F29" si="60">BA21-BB21</f>
        <v>0</v>
      </c>
      <c r="G21" s="75"/>
      <c r="H21" s="76"/>
      <c r="I21" s="93">
        <f t="shared" ref="I21:I29" si="61">BF21-BG21</f>
        <v>0</v>
      </c>
      <c r="J21" s="76"/>
      <c r="K21" s="76"/>
      <c r="L21" s="93">
        <f t="shared" ref="L21:L29" si="62">BK21-BL21</f>
        <v>0</v>
      </c>
      <c r="M21" s="75"/>
      <c r="N21" s="75"/>
      <c r="O21" s="93">
        <f t="shared" ref="O21:O29" si="63">BP21-BQ21</f>
        <v>0</v>
      </c>
      <c r="P21" s="76"/>
      <c r="Q21" s="75"/>
      <c r="R21" s="93">
        <f t="shared" ref="R21:R29" si="64">BU21-BV21</f>
        <v>0</v>
      </c>
      <c r="S21" s="76"/>
      <c r="T21" s="76"/>
      <c r="U21" s="93">
        <f t="shared" ref="U21:U29" si="65">BZ21-CA21</f>
        <v>0</v>
      </c>
      <c r="V21" s="75"/>
      <c r="W21" s="76"/>
      <c r="X21" s="93">
        <f t="shared" ref="X21:X29" si="66">CE21-CF21</f>
        <v>0</v>
      </c>
      <c r="Y21" s="93"/>
      <c r="Z21" s="93"/>
      <c r="AA21" s="93"/>
      <c r="AB21" s="97">
        <f t="shared" ref="AB21:AB29" si="67">SUM(F21,I21,L21,O21,R21,U21,X21)</f>
        <v>0</v>
      </c>
      <c r="AC21" s="94"/>
      <c r="AD21" s="77"/>
      <c r="AE21" s="95">
        <f t="shared" ref="AE21:AE29" si="68">SUMIF($BC$1:$CI$1,AE$1,$BC21:$CI21)+AD21</f>
        <v>0</v>
      </c>
      <c r="AF21" s="77"/>
      <c r="AG21" s="95">
        <f t="shared" ref="AG21:AG29" si="69">SUMIF($BC$1:$CI$1,AG$1,$BC21:$CI21)+AF21</f>
        <v>0</v>
      </c>
      <c r="AH21" s="77"/>
      <c r="AI21" s="95">
        <f t="shared" ref="AI21:AI29" si="70">SUMIF($BC$1:$CI$1,AI$1,$BC21:$CI21)+AH21</f>
        <v>0</v>
      </c>
      <c r="AJ21" s="77"/>
      <c r="AK21" s="95">
        <f t="shared" ref="AK21:AK29" si="71">SUMIF($BC$1:$CI$1,AK$1,$BC21:$CI21)+AJ21</f>
        <v>0</v>
      </c>
      <c r="AL21" s="78"/>
      <c r="AM21" s="95">
        <f t="shared" ref="AM21:AM29" si="72">SUMIF($BC$1:$CI$1,AM$1,$BC21:$CI21)+AL21</f>
        <v>0</v>
      </c>
      <c r="AN21" s="77"/>
      <c r="AO21" s="95">
        <f t="shared" ref="AO21:AO29" si="73">SUMIF($BC$1:$CI$1,AO$1,$BC21:$CI21)+AN21</f>
        <v>0</v>
      </c>
      <c r="AP21" s="96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3">
        <f t="shared" si="60"/>
        <v>0</v>
      </c>
      <c r="G22" s="75"/>
      <c r="H22" s="76"/>
      <c r="I22" s="93">
        <f t="shared" si="61"/>
        <v>0</v>
      </c>
      <c r="J22" s="76"/>
      <c r="K22" s="76"/>
      <c r="L22" s="93">
        <f t="shared" si="62"/>
        <v>0</v>
      </c>
      <c r="M22" s="75"/>
      <c r="N22" s="75"/>
      <c r="O22" s="93">
        <f t="shared" si="63"/>
        <v>0</v>
      </c>
      <c r="P22" s="76"/>
      <c r="Q22" s="75"/>
      <c r="R22" s="93">
        <f t="shared" si="64"/>
        <v>0</v>
      </c>
      <c r="S22" s="76"/>
      <c r="T22" s="76"/>
      <c r="U22" s="93">
        <f t="shared" si="65"/>
        <v>0</v>
      </c>
      <c r="V22" s="75"/>
      <c r="W22" s="76"/>
      <c r="X22" s="93">
        <f t="shared" si="66"/>
        <v>0</v>
      </c>
      <c r="Y22" s="93"/>
      <c r="Z22" s="93"/>
      <c r="AA22" s="93"/>
      <c r="AB22" s="97">
        <f t="shared" si="67"/>
        <v>0</v>
      </c>
      <c r="AC22" s="94"/>
      <c r="AD22" s="77"/>
      <c r="AE22" s="95">
        <f t="shared" si="68"/>
        <v>0</v>
      </c>
      <c r="AF22" s="77"/>
      <c r="AG22" s="95">
        <f t="shared" si="69"/>
        <v>0</v>
      </c>
      <c r="AH22" s="77"/>
      <c r="AI22" s="95">
        <f t="shared" si="70"/>
        <v>0</v>
      </c>
      <c r="AJ22" s="77"/>
      <c r="AK22" s="95">
        <f t="shared" si="71"/>
        <v>0</v>
      </c>
      <c r="AL22" s="78"/>
      <c r="AM22" s="95">
        <f t="shared" si="72"/>
        <v>0</v>
      </c>
      <c r="AN22" s="77"/>
      <c r="AO22" s="95">
        <f t="shared" si="73"/>
        <v>0</v>
      </c>
      <c r="AP22" s="96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3">
        <f t="shared" si="60"/>
        <v>0</v>
      </c>
      <c r="G23" s="75"/>
      <c r="H23" s="76"/>
      <c r="I23" s="93">
        <f t="shared" si="61"/>
        <v>0</v>
      </c>
      <c r="J23" s="76"/>
      <c r="K23" s="76"/>
      <c r="L23" s="93">
        <f t="shared" si="62"/>
        <v>0</v>
      </c>
      <c r="M23" s="75"/>
      <c r="N23" s="75"/>
      <c r="O23" s="93">
        <f t="shared" si="63"/>
        <v>0</v>
      </c>
      <c r="P23" s="76"/>
      <c r="Q23" s="75"/>
      <c r="R23" s="93">
        <f t="shared" si="64"/>
        <v>0</v>
      </c>
      <c r="S23" s="76"/>
      <c r="T23" s="76"/>
      <c r="U23" s="93">
        <f t="shared" si="65"/>
        <v>0</v>
      </c>
      <c r="V23" s="75"/>
      <c r="W23" s="76"/>
      <c r="X23" s="93">
        <f t="shared" si="66"/>
        <v>0</v>
      </c>
      <c r="Y23" s="93"/>
      <c r="Z23" s="93"/>
      <c r="AA23" s="93"/>
      <c r="AB23" s="97">
        <f t="shared" si="67"/>
        <v>0</v>
      </c>
      <c r="AC23" s="94"/>
      <c r="AD23" s="77"/>
      <c r="AE23" s="95">
        <f t="shared" si="68"/>
        <v>0</v>
      </c>
      <c r="AF23" s="77"/>
      <c r="AG23" s="95">
        <f t="shared" si="69"/>
        <v>0</v>
      </c>
      <c r="AH23" s="77"/>
      <c r="AI23" s="95">
        <f t="shared" si="70"/>
        <v>0</v>
      </c>
      <c r="AJ23" s="77"/>
      <c r="AK23" s="95">
        <f t="shared" si="71"/>
        <v>0</v>
      </c>
      <c r="AL23" s="78"/>
      <c r="AM23" s="95">
        <f t="shared" si="72"/>
        <v>0</v>
      </c>
      <c r="AN23" s="77"/>
      <c r="AO23" s="95">
        <f t="shared" si="73"/>
        <v>0</v>
      </c>
      <c r="AP23" s="96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3">
        <f t="shared" si="60"/>
        <v>0</v>
      </c>
      <c r="G24" s="75"/>
      <c r="H24" s="76"/>
      <c r="I24" s="93">
        <f t="shared" si="61"/>
        <v>0</v>
      </c>
      <c r="J24" s="76"/>
      <c r="K24" s="76"/>
      <c r="L24" s="93">
        <f t="shared" si="62"/>
        <v>0</v>
      </c>
      <c r="M24" s="75"/>
      <c r="N24" s="75"/>
      <c r="O24" s="93">
        <f t="shared" si="63"/>
        <v>0</v>
      </c>
      <c r="P24" s="76"/>
      <c r="Q24" s="76"/>
      <c r="R24" s="93">
        <f t="shared" si="64"/>
        <v>0</v>
      </c>
      <c r="S24" s="76"/>
      <c r="T24" s="76"/>
      <c r="U24" s="93">
        <f t="shared" si="65"/>
        <v>0</v>
      </c>
      <c r="V24" s="75"/>
      <c r="W24" s="76"/>
      <c r="X24" s="93">
        <f t="shared" si="66"/>
        <v>0</v>
      </c>
      <c r="Y24" s="93"/>
      <c r="Z24" s="93"/>
      <c r="AA24" s="93"/>
      <c r="AB24" s="97">
        <f t="shared" si="67"/>
        <v>0</v>
      </c>
      <c r="AC24" s="94"/>
      <c r="AD24" s="77"/>
      <c r="AE24" s="95">
        <f t="shared" si="68"/>
        <v>0</v>
      </c>
      <c r="AF24" s="77"/>
      <c r="AG24" s="95">
        <f t="shared" si="69"/>
        <v>0</v>
      </c>
      <c r="AH24" s="77"/>
      <c r="AI24" s="95">
        <f t="shared" si="70"/>
        <v>0</v>
      </c>
      <c r="AJ24" s="77"/>
      <c r="AK24" s="95">
        <f t="shared" si="71"/>
        <v>0</v>
      </c>
      <c r="AL24" s="78"/>
      <c r="AM24" s="95">
        <f t="shared" si="72"/>
        <v>0</v>
      </c>
      <c r="AN24" s="77"/>
      <c r="AO24" s="95">
        <f t="shared" si="73"/>
        <v>0</v>
      </c>
      <c r="AP24" s="96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3">
        <f t="shared" si="60"/>
        <v>0</v>
      </c>
      <c r="G25" s="75"/>
      <c r="H25" s="76"/>
      <c r="I25" s="93">
        <f t="shared" si="61"/>
        <v>0</v>
      </c>
      <c r="J25" s="76"/>
      <c r="K25" s="76"/>
      <c r="L25" s="93">
        <f t="shared" si="62"/>
        <v>0</v>
      </c>
      <c r="M25" s="75"/>
      <c r="N25" s="75"/>
      <c r="O25" s="93">
        <f t="shared" si="63"/>
        <v>0</v>
      </c>
      <c r="P25" s="76"/>
      <c r="Q25" s="76"/>
      <c r="R25" s="93">
        <f t="shared" si="64"/>
        <v>0</v>
      </c>
      <c r="S25" s="76"/>
      <c r="T25" s="76"/>
      <c r="U25" s="93">
        <f t="shared" si="65"/>
        <v>0</v>
      </c>
      <c r="V25" s="75"/>
      <c r="W25" s="76"/>
      <c r="X25" s="93">
        <f t="shared" si="66"/>
        <v>0</v>
      </c>
      <c r="Y25" s="93"/>
      <c r="Z25" s="93"/>
      <c r="AA25" s="93"/>
      <c r="AB25" s="97">
        <f t="shared" si="67"/>
        <v>0</v>
      </c>
      <c r="AC25" s="94"/>
      <c r="AD25" s="77"/>
      <c r="AE25" s="95">
        <f t="shared" si="68"/>
        <v>0</v>
      </c>
      <c r="AF25" s="77"/>
      <c r="AG25" s="95">
        <f t="shared" si="69"/>
        <v>0</v>
      </c>
      <c r="AH25" s="77"/>
      <c r="AI25" s="95">
        <f t="shared" si="70"/>
        <v>0</v>
      </c>
      <c r="AJ25" s="77"/>
      <c r="AK25" s="95">
        <f t="shared" si="71"/>
        <v>0</v>
      </c>
      <c r="AL25" s="78"/>
      <c r="AM25" s="95">
        <f t="shared" si="72"/>
        <v>0</v>
      </c>
      <c r="AN25" s="77"/>
      <c r="AO25" s="95">
        <f t="shared" si="73"/>
        <v>0</v>
      </c>
      <c r="AP25" s="96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3">
        <f t="shared" si="60"/>
        <v>0</v>
      </c>
      <c r="G26" s="75"/>
      <c r="H26" s="76"/>
      <c r="I26" s="93">
        <f t="shared" si="61"/>
        <v>0</v>
      </c>
      <c r="J26" s="76"/>
      <c r="K26" s="76"/>
      <c r="L26" s="93">
        <f t="shared" si="62"/>
        <v>0</v>
      </c>
      <c r="M26" s="75"/>
      <c r="N26" s="75"/>
      <c r="O26" s="93">
        <f t="shared" si="63"/>
        <v>0</v>
      </c>
      <c r="P26" s="76"/>
      <c r="Q26" s="76"/>
      <c r="R26" s="93">
        <f t="shared" si="64"/>
        <v>0</v>
      </c>
      <c r="S26" s="76"/>
      <c r="T26" s="76"/>
      <c r="U26" s="93">
        <f t="shared" si="65"/>
        <v>0</v>
      </c>
      <c r="V26" s="75"/>
      <c r="W26" s="76"/>
      <c r="X26" s="93">
        <f t="shared" si="66"/>
        <v>0</v>
      </c>
      <c r="Y26" s="93"/>
      <c r="Z26" s="93"/>
      <c r="AA26" s="93"/>
      <c r="AB26" s="97">
        <f t="shared" si="67"/>
        <v>0</v>
      </c>
      <c r="AC26" s="94"/>
      <c r="AD26" s="77"/>
      <c r="AE26" s="95">
        <f t="shared" si="68"/>
        <v>0</v>
      </c>
      <c r="AF26" s="77"/>
      <c r="AG26" s="95">
        <f t="shared" si="69"/>
        <v>0</v>
      </c>
      <c r="AH26" s="77"/>
      <c r="AI26" s="95">
        <f t="shared" si="70"/>
        <v>0</v>
      </c>
      <c r="AJ26" s="77"/>
      <c r="AK26" s="95">
        <f t="shared" si="71"/>
        <v>0</v>
      </c>
      <c r="AL26" s="78"/>
      <c r="AM26" s="95">
        <f t="shared" si="72"/>
        <v>0</v>
      </c>
      <c r="AN26" s="77"/>
      <c r="AO26" s="95">
        <f t="shared" si="73"/>
        <v>0</v>
      </c>
      <c r="AP26" s="96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3">
        <f t="shared" si="60"/>
        <v>0</v>
      </c>
      <c r="G27" s="75"/>
      <c r="H27" s="76"/>
      <c r="I27" s="93">
        <f t="shared" si="61"/>
        <v>0</v>
      </c>
      <c r="J27" s="76"/>
      <c r="K27" s="76"/>
      <c r="L27" s="93">
        <f t="shared" si="62"/>
        <v>0</v>
      </c>
      <c r="M27" s="75"/>
      <c r="N27" s="75"/>
      <c r="O27" s="93">
        <f t="shared" si="63"/>
        <v>0</v>
      </c>
      <c r="P27" s="76"/>
      <c r="Q27" s="76"/>
      <c r="R27" s="93">
        <f t="shared" si="64"/>
        <v>0</v>
      </c>
      <c r="S27" s="76"/>
      <c r="T27" s="76"/>
      <c r="U27" s="93">
        <f t="shared" si="65"/>
        <v>0</v>
      </c>
      <c r="V27" s="75"/>
      <c r="W27" s="76"/>
      <c r="X27" s="93">
        <f t="shared" si="66"/>
        <v>0</v>
      </c>
      <c r="Y27" s="93"/>
      <c r="Z27" s="93"/>
      <c r="AA27" s="93"/>
      <c r="AB27" s="97">
        <f t="shared" si="67"/>
        <v>0</v>
      </c>
      <c r="AC27" s="94"/>
      <c r="AD27" s="77"/>
      <c r="AE27" s="95">
        <f t="shared" si="68"/>
        <v>0</v>
      </c>
      <c r="AF27" s="77"/>
      <c r="AG27" s="95">
        <f t="shared" si="69"/>
        <v>0</v>
      </c>
      <c r="AH27" s="77"/>
      <c r="AI27" s="95">
        <f t="shared" si="70"/>
        <v>0</v>
      </c>
      <c r="AJ27" s="77"/>
      <c r="AK27" s="95">
        <f t="shared" si="71"/>
        <v>0</v>
      </c>
      <c r="AL27" s="78"/>
      <c r="AM27" s="95">
        <f t="shared" si="72"/>
        <v>0</v>
      </c>
      <c r="AN27" s="77"/>
      <c r="AO27" s="95">
        <f t="shared" si="73"/>
        <v>0</v>
      </c>
      <c r="AP27" s="96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3">
        <f t="shared" si="60"/>
        <v>0</v>
      </c>
      <c r="G28" s="75"/>
      <c r="H28" s="76"/>
      <c r="I28" s="93">
        <f t="shared" si="61"/>
        <v>0</v>
      </c>
      <c r="J28" s="76"/>
      <c r="K28" s="76"/>
      <c r="L28" s="93">
        <f t="shared" si="62"/>
        <v>0</v>
      </c>
      <c r="M28" s="75"/>
      <c r="N28" s="75"/>
      <c r="O28" s="93">
        <f t="shared" si="63"/>
        <v>0</v>
      </c>
      <c r="P28" s="76"/>
      <c r="Q28" s="76"/>
      <c r="R28" s="93">
        <f t="shared" si="64"/>
        <v>0</v>
      </c>
      <c r="S28" s="76"/>
      <c r="T28" s="76"/>
      <c r="U28" s="93">
        <f t="shared" si="65"/>
        <v>0</v>
      </c>
      <c r="V28" s="75"/>
      <c r="W28" s="76"/>
      <c r="X28" s="93">
        <f t="shared" si="66"/>
        <v>0</v>
      </c>
      <c r="Y28" s="93"/>
      <c r="Z28" s="93"/>
      <c r="AA28" s="93"/>
      <c r="AB28" s="97">
        <f t="shared" si="67"/>
        <v>0</v>
      </c>
      <c r="AC28" s="94"/>
      <c r="AD28" s="77"/>
      <c r="AE28" s="95">
        <f t="shared" si="68"/>
        <v>0</v>
      </c>
      <c r="AF28" s="77"/>
      <c r="AG28" s="95">
        <f t="shared" si="69"/>
        <v>0</v>
      </c>
      <c r="AH28" s="77"/>
      <c r="AI28" s="95">
        <f t="shared" si="70"/>
        <v>0</v>
      </c>
      <c r="AJ28" s="77"/>
      <c r="AK28" s="95">
        <f t="shared" si="71"/>
        <v>0</v>
      </c>
      <c r="AL28" s="78"/>
      <c r="AM28" s="95">
        <f t="shared" si="72"/>
        <v>0</v>
      </c>
      <c r="AN28" s="77"/>
      <c r="AO28" s="95">
        <f t="shared" si="73"/>
        <v>0</v>
      </c>
      <c r="AP28" s="96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3">
        <f t="shared" si="60"/>
        <v>0</v>
      </c>
      <c r="G29" s="75"/>
      <c r="H29" s="76"/>
      <c r="I29" s="93">
        <f t="shared" si="61"/>
        <v>0</v>
      </c>
      <c r="J29" s="76"/>
      <c r="K29" s="76"/>
      <c r="L29" s="93">
        <f t="shared" si="62"/>
        <v>0</v>
      </c>
      <c r="M29" s="75"/>
      <c r="N29" s="75"/>
      <c r="O29" s="93">
        <f t="shared" si="63"/>
        <v>0</v>
      </c>
      <c r="P29" s="76"/>
      <c r="Q29" s="76"/>
      <c r="R29" s="93">
        <f t="shared" si="64"/>
        <v>0</v>
      </c>
      <c r="S29" s="76"/>
      <c r="T29" s="76"/>
      <c r="U29" s="93">
        <f t="shared" si="65"/>
        <v>0</v>
      </c>
      <c r="V29" s="75"/>
      <c r="W29" s="76"/>
      <c r="X29" s="93">
        <f t="shared" si="66"/>
        <v>0</v>
      </c>
      <c r="Y29" s="93"/>
      <c r="Z29" s="93"/>
      <c r="AA29" s="93"/>
      <c r="AB29" s="97">
        <f t="shared" si="67"/>
        <v>0</v>
      </c>
      <c r="AC29" s="94"/>
      <c r="AD29" s="77"/>
      <c r="AE29" s="95">
        <f t="shared" si="68"/>
        <v>0</v>
      </c>
      <c r="AF29" s="77"/>
      <c r="AG29" s="95">
        <f t="shared" si="69"/>
        <v>0</v>
      </c>
      <c r="AH29" s="77"/>
      <c r="AI29" s="95">
        <f t="shared" si="70"/>
        <v>0</v>
      </c>
      <c r="AJ29" s="77"/>
      <c r="AK29" s="95">
        <f t="shared" si="71"/>
        <v>0</v>
      </c>
      <c r="AL29" s="78"/>
      <c r="AM29" s="95">
        <f t="shared" si="72"/>
        <v>0</v>
      </c>
      <c r="AN29" s="77"/>
      <c r="AO29" s="95">
        <f t="shared" si="73"/>
        <v>0</v>
      </c>
      <c r="AP29" s="96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3">
        <f t="shared" si="9"/>
        <v>0</v>
      </c>
      <c r="G30" s="75"/>
      <c r="H30" s="76"/>
      <c r="I30" s="93">
        <f t="shared" si="10"/>
        <v>0</v>
      </c>
      <c r="J30" s="76"/>
      <c r="K30" s="76"/>
      <c r="L30" s="93">
        <f t="shared" si="11"/>
        <v>0</v>
      </c>
      <c r="M30" s="75"/>
      <c r="N30" s="75"/>
      <c r="O30" s="93">
        <f t="shared" si="12"/>
        <v>0</v>
      </c>
      <c r="P30" s="76"/>
      <c r="Q30" s="76"/>
      <c r="R30" s="93">
        <f t="shared" si="13"/>
        <v>0</v>
      </c>
      <c r="S30" s="76"/>
      <c r="T30" s="76"/>
      <c r="U30" s="93">
        <f t="shared" si="14"/>
        <v>0</v>
      </c>
      <c r="V30" s="75"/>
      <c r="W30" s="76"/>
      <c r="X30" s="93">
        <f t="shared" si="15"/>
        <v>0</v>
      </c>
      <c r="Y30" s="93"/>
      <c r="Z30" s="93"/>
      <c r="AA30" s="93"/>
      <c r="AB30" s="97">
        <f t="shared" si="16"/>
        <v>0</v>
      </c>
      <c r="AC30" s="94"/>
      <c r="AD30" s="77"/>
      <c r="AE30" s="95">
        <f t="shared" si="17"/>
        <v>0</v>
      </c>
      <c r="AF30" s="77"/>
      <c r="AG30" s="95">
        <f t="shared" si="18"/>
        <v>0</v>
      </c>
      <c r="AH30" s="77"/>
      <c r="AI30" s="95">
        <f t="shared" si="19"/>
        <v>0</v>
      </c>
      <c r="AJ30" s="77"/>
      <c r="AK30" s="95">
        <f t="shared" si="20"/>
        <v>0</v>
      </c>
      <c r="AL30" s="78"/>
      <c r="AM30" s="95">
        <f t="shared" si="21"/>
        <v>0</v>
      </c>
      <c r="AN30" s="77"/>
      <c r="AO30" s="95">
        <f t="shared" si="22"/>
        <v>0</v>
      </c>
      <c r="AP30" s="96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3">
        <f t="shared" si="9"/>
        <v>0</v>
      </c>
      <c r="G31" s="75"/>
      <c r="H31" s="76"/>
      <c r="I31" s="93">
        <f t="shared" si="10"/>
        <v>0</v>
      </c>
      <c r="J31" s="76"/>
      <c r="K31" s="76"/>
      <c r="L31" s="93">
        <f t="shared" si="11"/>
        <v>0</v>
      </c>
      <c r="M31" s="75"/>
      <c r="N31" s="75"/>
      <c r="O31" s="93">
        <f t="shared" si="12"/>
        <v>0</v>
      </c>
      <c r="P31" s="76"/>
      <c r="Q31" s="76"/>
      <c r="R31" s="93">
        <f t="shared" si="13"/>
        <v>0</v>
      </c>
      <c r="S31" s="76"/>
      <c r="T31" s="76"/>
      <c r="U31" s="93">
        <f t="shared" si="14"/>
        <v>0</v>
      </c>
      <c r="V31" s="75"/>
      <c r="W31" s="76"/>
      <c r="X31" s="93">
        <f t="shared" si="15"/>
        <v>0</v>
      </c>
      <c r="Y31" s="93"/>
      <c r="Z31" s="93"/>
      <c r="AA31" s="93"/>
      <c r="AB31" s="97">
        <f t="shared" si="16"/>
        <v>0</v>
      </c>
      <c r="AC31" s="94"/>
      <c r="AD31" s="77"/>
      <c r="AE31" s="95">
        <f t="shared" si="17"/>
        <v>0</v>
      </c>
      <c r="AF31" s="77"/>
      <c r="AG31" s="95">
        <f t="shared" si="18"/>
        <v>0</v>
      </c>
      <c r="AH31" s="77"/>
      <c r="AI31" s="95">
        <f t="shared" si="19"/>
        <v>0</v>
      </c>
      <c r="AJ31" s="77"/>
      <c r="AK31" s="95">
        <f t="shared" si="20"/>
        <v>0</v>
      </c>
      <c r="AL31" s="78"/>
      <c r="AM31" s="95">
        <f t="shared" si="21"/>
        <v>0</v>
      </c>
      <c r="AN31" s="77"/>
      <c r="AO31" s="95">
        <f t="shared" si="22"/>
        <v>0</v>
      </c>
      <c r="AP31" s="96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3">
        <f t="shared" ref="F32" si="76">BA32-BB32</f>
        <v>0</v>
      </c>
      <c r="G32" s="75"/>
      <c r="H32" s="76"/>
      <c r="I32" s="93">
        <f t="shared" ref="I32" si="77">BF32-BG32</f>
        <v>0</v>
      </c>
      <c r="J32" s="76"/>
      <c r="K32" s="76"/>
      <c r="L32" s="93">
        <f t="shared" ref="L32" si="78">BK32-BL32</f>
        <v>0</v>
      </c>
      <c r="M32" s="75"/>
      <c r="N32" s="75"/>
      <c r="O32" s="93">
        <f t="shared" ref="O32" si="79">BP32-BQ32</f>
        <v>0</v>
      </c>
      <c r="P32" s="76"/>
      <c r="Q32" s="76"/>
      <c r="R32" s="93">
        <f t="shared" ref="R32" si="80">BU32-BV32</f>
        <v>0</v>
      </c>
      <c r="S32" s="76"/>
      <c r="T32" s="76"/>
      <c r="U32" s="93">
        <f t="shared" ref="U32" si="81">BZ32-CA32</f>
        <v>0</v>
      </c>
      <c r="V32" s="75"/>
      <c r="W32" s="76"/>
      <c r="X32" s="93">
        <f t="shared" ref="X32" si="82">CE32-CF32</f>
        <v>0</v>
      </c>
      <c r="Y32" s="93"/>
      <c r="Z32" s="93"/>
      <c r="AA32" s="93"/>
      <c r="AB32" s="97">
        <f t="shared" ref="AB32" si="83">SUM(F32,I32,L32,O32,R32,U32,X32)</f>
        <v>0</v>
      </c>
      <c r="AC32" s="94"/>
      <c r="AD32" s="77"/>
      <c r="AE32" s="95">
        <f t="shared" ref="AE32" si="84">SUMIF($BC$1:$CI$1,AE$1,$BC32:$CI32)+AD32</f>
        <v>0</v>
      </c>
      <c r="AF32" s="77"/>
      <c r="AG32" s="95">
        <f t="shared" ref="AG32" si="85">SUMIF($BC$1:$CI$1,AG$1,$BC32:$CI32)+AF32</f>
        <v>0</v>
      </c>
      <c r="AH32" s="77"/>
      <c r="AI32" s="95">
        <f t="shared" ref="AI32" si="86">SUMIF($BC$1:$CI$1,AI$1,$BC32:$CI32)+AH32</f>
        <v>0</v>
      </c>
      <c r="AJ32" s="77"/>
      <c r="AK32" s="95">
        <f t="shared" ref="AK32" si="87">SUMIF($BC$1:$CI$1,AK$1,$BC32:$CI32)+AJ32</f>
        <v>0</v>
      </c>
      <c r="AL32" s="78"/>
      <c r="AM32" s="95">
        <f t="shared" ref="AM32" si="88">SUMIF($BC$1:$CI$1,AM$1,$BC32:$CI32)+AL32</f>
        <v>0</v>
      </c>
      <c r="AN32" s="77"/>
      <c r="AO32" s="95">
        <f t="shared" ref="AO32" si="89">SUMIF($BC$1:$CI$1,AO$1,$BC32:$CI32)+AN32</f>
        <v>0</v>
      </c>
      <c r="AP32" s="96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3">
        <f t="shared" si="9"/>
        <v>0</v>
      </c>
      <c r="G33" s="75"/>
      <c r="H33" s="76"/>
      <c r="I33" s="93">
        <f t="shared" si="10"/>
        <v>0</v>
      </c>
      <c r="J33" s="76"/>
      <c r="K33" s="75"/>
      <c r="L33" s="93">
        <f t="shared" si="11"/>
        <v>0</v>
      </c>
      <c r="M33" s="76"/>
      <c r="N33" s="75"/>
      <c r="O33" s="93">
        <f t="shared" si="12"/>
        <v>0</v>
      </c>
      <c r="P33" s="76"/>
      <c r="Q33" s="75"/>
      <c r="R33" s="93">
        <f t="shared" si="13"/>
        <v>0</v>
      </c>
      <c r="S33" s="76"/>
      <c r="T33" s="76"/>
      <c r="U33" s="93">
        <f t="shared" si="14"/>
        <v>0</v>
      </c>
      <c r="V33" s="75"/>
      <c r="W33" s="76"/>
      <c r="X33" s="93">
        <f t="shared" si="15"/>
        <v>0</v>
      </c>
      <c r="Y33" s="93"/>
      <c r="Z33" s="93"/>
      <c r="AA33" s="93"/>
      <c r="AB33" s="97">
        <f t="shared" si="16"/>
        <v>0</v>
      </c>
      <c r="AC33" s="94"/>
      <c r="AD33" s="77"/>
      <c r="AE33" s="95">
        <f t="shared" si="17"/>
        <v>0</v>
      </c>
      <c r="AF33" s="77"/>
      <c r="AG33" s="95">
        <f t="shared" si="18"/>
        <v>0</v>
      </c>
      <c r="AH33" s="77"/>
      <c r="AI33" s="95">
        <f t="shared" si="19"/>
        <v>0</v>
      </c>
      <c r="AJ33" s="77"/>
      <c r="AK33" s="95">
        <f t="shared" si="20"/>
        <v>0</v>
      </c>
      <c r="AL33" s="78"/>
      <c r="AM33" s="95">
        <f t="shared" si="21"/>
        <v>0</v>
      </c>
      <c r="AN33" s="77"/>
      <c r="AO33" s="95">
        <f t="shared" si="22"/>
        <v>0</v>
      </c>
      <c r="AP33" s="96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3">
        <f t="shared" si="9"/>
        <v>0</v>
      </c>
      <c r="G34" s="75"/>
      <c r="H34" s="76"/>
      <c r="I34" s="93">
        <f t="shared" si="10"/>
        <v>0</v>
      </c>
      <c r="J34" s="76"/>
      <c r="K34" s="76"/>
      <c r="L34" s="93">
        <f t="shared" si="11"/>
        <v>0</v>
      </c>
      <c r="M34" s="75"/>
      <c r="N34" s="75"/>
      <c r="O34" s="93">
        <f t="shared" si="12"/>
        <v>0</v>
      </c>
      <c r="P34" s="76"/>
      <c r="Q34" s="76"/>
      <c r="R34" s="93">
        <f t="shared" si="13"/>
        <v>0</v>
      </c>
      <c r="S34" s="76"/>
      <c r="T34" s="76"/>
      <c r="U34" s="93">
        <f t="shared" si="14"/>
        <v>0</v>
      </c>
      <c r="V34" s="75"/>
      <c r="W34" s="76"/>
      <c r="X34" s="93">
        <f t="shared" si="15"/>
        <v>0</v>
      </c>
      <c r="Y34" s="93"/>
      <c r="Z34" s="93"/>
      <c r="AA34" s="93"/>
      <c r="AB34" s="97">
        <f t="shared" si="16"/>
        <v>0</v>
      </c>
      <c r="AC34" s="94"/>
      <c r="AD34" s="77"/>
      <c r="AE34" s="95">
        <f t="shared" si="17"/>
        <v>0</v>
      </c>
      <c r="AF34" s="77"/>
      <c r="AG34" s="95">
        <f t="shared" si="18"/>
        <v>0</v>
      </c>
      <c r="AH34" s="77"/>
      <c r="AI34" s="95">
        <f t="shared" si="19"/>
        <v>0</v>
      </c>
      <c r="AJ34" s="77"/>
      <c r="AK34" s="95">
        <f t="shared" si="20"/>
        <v>0</v>
      </c>
      <c r="AL34" s="78"/>
      <c r="AM34" s="95">
        <f t="shared" si="21"/>
        <v>0</v>
      </c>
      <c r="AN34" s="77"/>
      <c r="AO34" s="95">
        <f t="shared" si="22"/>
        <v>0</v>
      </c>
      <c r="AP34" s="96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3">
        <f t="shared" si="9"/>
        <v>0</v>
      </c>
      <c r="G35" s="75"/>
      <c r="H35" s="76"/>
      <c r="I35" s="93">
        <f t="shared" si="10"/>
        <v>0</v>
      </c>
      <c r="J35" s="76"/>
      <c r="K35" s="76"/>
      <c r="L35" s="93">
        <f t="shared" si="11"/>
        <v>0</v>
      </c>
      <c r="M35" s="75"/>
      <c r="N35" s="75"/>
      <c r="O35" s="93">
        <f t="shared" si="12"/>
        <v>0</v>
      </c>
      <c r="P35" s="76"/>
      <c r="Q35" s="76"/>
      <c r="R35" s="93">
        <f t="shared" si="13"/>
        <v>0</v>
      </c>
      <c r="S35" s="76"/>
      <c r="T35" s="76"/>
      <c r="U35" s="93">
        <f t="shared" si="14"/>
        <v>0</v>
      </c>
      <c r="V35" s="75"/>
      <c r="W35" s="76"/>
      <c r="X35" s="93">
        <f t="shared" si="15"/>
        <v>0</v>
      </c>
      <c r="Y35" s="93"/>
      <c r="Z35" s="93"/>
      <c r="AA35" s="93"/>
      <c r="AB35" s="97">
        <f t="shared" si="16"/>
        <v>0</v>
      </c>
      <c r="AC35" s="94"/>
      <c r="AD35" s="77"/>
      <c r="AE35" s="95">
        <f t="shared" si="17"/>
        <v>0</v>
      </c>
      <c r="AF35" s="77"/>
      <c r="AG35" s="95">
        <f t="shared" si="18"/>
        <v>0</v>
      </c>
      <c r="AH35" s="77"/>
      <c r="AI35" s="95">
        <f t="shared" si="19"/>
        <v>0</v>
      </c>
      <c r="AJ35" s="77"/>
      <c r="AK35" s="95">
        <f t="shared" si="20"/>
        <v>0</v>
      </c>
      <c r="AL35" s="78"/>
      <c r="AM35" s="95">
        <f t="shared" si="21"/>
        <v>0</v>
      </c>
      <c r="AN35" s="77"/>
      <c r="AO35" s="95">
        <f t="shared" si="22"/>
        <v>0</v>
      </c>
      <c r="AP35" s="96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C1" zoomScale="120" zoomScaleNormal="120" workbookViewId="0">
      <selection activeCell="AI1" sqref="AI1:AI1048576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10308</v>
      </c>
      <c r="B2" s="28">
        <f ca="1">IF(A2=0,"",_xlfn.NUMBERVALUE(A2))</f>
        <v>10308</v>
      </c>
      <c r="C2" s="28" t="str">
        <f ca="1">IF($A2=0,"",VLOOKUP($B2,Employees!$A:$G,2,FALSE))</f>
        <v>Huang-Kai</v>
      </c>
      <c r="D2" s="28" t="str">
        <f ca="1">IF($A2=0,"",VLOOKUP($B2,Employees!$A:$G,3,FALSE))</f>
        <v>Tseng</v>
      </c>
      <c r="E2" s="26">
        <f ca="1">IF($A2=0,"",VLOOKUP($B2,Employees!$A:$G,5,FALSE))</f>
        <v>29640</v>
      </c>
      <c r="F2" s="13">
        <f ca="1">IF($E2="","",ROUNDDOWN(YEARFRAC($E2, 'Week 1 Roster'!$D$1-1, 1), 0))</f>
        <v>44</v>
      </c>
      <c r="G2" s="13">
        <f ca="1">IF($E2="","",ROUNDDOWN(YEARFRAC($E2, 'Week 1 Roster'!$D$1+14, 1), 0))</f>
        <v>44</v>
      </c>
      <c r="H2" s="13" t="b">
        <f ca="1">IF($E2="","",IF(AND(F2&lt;21,F2&lt;&gt;G2),TRUE,FALSE))</f>
        <v>0</v>
      </c>
      <c r="I2" s="13">
        <f ca="1">IF($A2=0,"",VLOOKUP($B2,Employees!$A:$G,6,FALSE))</f>
        <v>200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Hotstar The Star</v>
      </c>
      <c r="L2" s="13" t="str">
        <f ca="1">IF($A2=0,"",VLOOKUP(K2,Stores!A:B,2,0))</f>
        <v>Winlada</v>
      </c>
      <c r="M2" s="14">
        <f t="shared" ref="M2" ca="1" si="0">Y2+AK2</f>
        <v>72.25</v>
      </c>
      <c r="N2" s="14">
        <f t="shared" ref="N2" ca="1" si="1">Z2+AL2</f>
        <v>8.5</v>
      </c>
      <c r="O2" s="14">
        <f t="shared" ref="O2" ca="1" si="2">AA2+AM2</f>
        <v>17.25</v>
      </c>
      <c r="P2" s="14">
        <f t="shared" ref="P2" ca="1" si="3">AB2+AN2</f>
        <v>0</v>
      </c>
      <c r="Q2" s="14">
        <f t="shared" ref="Q2" ca="1" si="4">AC2+AO2</f>
        <v>13.416666666666679</v>
      </c>
      <c r="R2" s="14">
        <f t="shared" ref="R2:S2" ca="1" si="5">AD2+AP2</f>
        <v>0.75</v>
      </c>
      <c r="S2" s="28">
        <f t="shared" ca="1" si="5"/>
        <v>13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112.16666666666669</v>
      </c>
      <c r="Y2" s="17">
        <f ca="1">IF($A2=0,0,SUMIF('Week 1 Roster'!$AZ:$AZ,$B2,'Week 1 Roster'!$AE:$AE))</f>
        <v>36.5</v>
      </c>
      <c r="Z2" s="17">
        <f ca="1">IF($A2=0,0,SUMIF('Week 1 Roster'!$AZ:$AZ,$B2,'Week 1 Roster'!$AG:$AG))</f>
        <v>8</v>
      </c>
      <c r="AA2" s="17">
        <f ca="1">IF($A2=0,0,SUMIF('Week 1 Roster'!$AZ:$AZ,$B2,'Week 1 Roster'!$AI:$AI))</f>
        <v>7.75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7.0000000000000044</v>
      </c>
      <c r="AD2" s="17">
        <f ca="1">IF($A2=0,0,SUMIF('Week 1 Roster'!$AZ:$AZ,$B2,'Week 1 Roster'!$AO:$AO))</f>
        <v>0.75</v>
      </c>
      <c r="AE2" s="38">
        <f ca="1">IF($A2=0,0,SUMIF('Week 1 Roster'!$AZ:$AZ,$B2,'Week 1 Roster'!$AP:$AP))</f>
        <v>7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60.000000000000007</v>
      </c>
      <c r="AK2" s="17">
        <f ca="1">IF($A2=0,0,SUMIF('Week 2 Roster'!$AZ:$AZ,$B2,'Week 2 Roster'!$AE:$AE))</f>
        <v>35.749999999999993</v>
      </c>
      <c r="AL2" s="17">
        <f ca="1">IF($A2=0,0,SUMIF('Week 2 Roster'!$AZ:$AZ,$B2,'Week 2 Roster'!$AG:$AG))</f>
        <v>0.5</v>
      </c>
      <c r="AM2" s="17">
        <f ca="1">IF($A2=0,0,SUMIF('Week 2 Roster'!$AZ:$AZ,$B2,'Week 2 Roster'!$AI:$AI))</f>
        <v>9.5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6.4166666666666732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6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52.166666666666664</v>
      </c>
      <c r="AV2" s="17"/>
      <c r="AW2" s="25">
        <f>'Week 1 Roster'!A2</f>
        <v>10308</v>
      </c>
      <c r="AX2" s="25">
        <f>'Week 2 Roster'!A2</f>
        <v>10308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10298</v>
      </c>
      <c r="B3" s="28">
        <f t="shared" ref="B3:B66" ca="1" si="9">IF(A3=0,"",_xlfn.NUMBERVALUE(A3))</f>
        <v>10298</v>
      </c>
      <c r="C3" s="28" t="str">
        <f ca="1">IF($A3=0,"",VLOOKUP($B3,Employees!$A:$G,2,FALSE))</f>
        <v>Fangwei</v>
      </c>
      <c r="D3" s="28" t="str">
        <f ca="1">IF($A3=0,"",VLOOKUP($B3,Employees!$A:$G,3,FALSE))</f>
        <v>Hsu</v>
      </c>
      <c r="E3" s="26">
        <f ca="1">IF($A3=0,"",VLOOKUP($B3,Employees!$A:$G,5,FALSE))</f>
        <v>34174</v>
      </c>
      <c r="F3" s="13">
        <f ca="1">IF($E3="","",ROUNDDOWN(YEARFRAC($E3, 'Week 1 Roster'!$D$1-1, 1), 0))</f>
        <v>32</v>
      </c>
      <c r="G3" s="13">
        <f ca="1">IF($E3="","",ROUNDDOWN(YEARFRAC($E3, 'Week 1 Roster'!$D$1+14, 1), 0))</f>
        <v>32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Hotstar The Star</v>
      </c>
      <c r="L3" s="13" t="str">
        <f ca="1">IF($A3=0,"",VLOOKUP(K3,Stores!A:B,2,0))</f>
        <v>Winlada</v>
      </c>
      <c r="M3" s="14">
        <f t="shared" ref="M3:M66" ca="1" si="11">Y3+AK3</f>
        <v>43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6</v>
      </c>
      <c r="T3" s="14">
        <f t="shared" ref="T3:T66" ca="1" si="18">AF3+AR3</f>
        <v>0.5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43.5</v>
      </c>
      <c r="Y3" s="17">
        <f ca="1">IF($A3=0,0,SUMIF('Week 1 Roster'!$AZ:$AZ,$B3,'Week 1 Roster'!$AE:$AE))</f>
        <v>19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2</v>
      </c>
      <c r="AF3" s="17">
        <f ca="1">IF($A3=0,0,SUMIF('Week 1 Roster'!$AZ:$AZ,$B3,'Week 1 Roster'!$AQ:$AQ))</f>
        <v>0.5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19.5</v>
      </c>
      <c r="AK3" s="17">
        <f ca="1">IF($A3=0,0,SUMIF('Week 2 Roster'!$AZ:$AZ,$B3,'Week 2 Roster'!$AE:$AE))</f>
        <v>24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4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24</v>
      </c>
      <c r="AV3" s="17"/>
      <c r="AW3" s="25">
        <f>'Week 1 Roster'!A3</f>
        <v>10298</v>
      </c>
      <c r="AX3" s="25">
        <f>'Week 2 Roster'!A3</f>
        <v>10298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10301</v>
      </c>
      <c r="B4" s="28">
        <f t="shared" ca="1" si="9"/>
        <v>10301</v>
      </c>
      <c r="C4" s="28" t="str">
        <f ca="1">IF($A4=0,"",VLOOKUP($B4,Employees!$A:$G,2,FALSE))</f>
        <v>Afri</v>
      </c>
      <c r="D4" s="28" t="str">
        <f ca="1">IF($A4=0,"",VLOOKUP($B4,Employees!$A:$G,3,FALSE))</f>
        <v>Budiyanto</v>
      </c>
      <c r="E4" s="26">
        <f ca="1">IF($A4=0,"",VLOOKUP($B4,Employees!$A:$G,5,FALSE))</f>
        <v>35887</v>
      </c>
      <c r="F4" s="13">
        <f ca="1">IF($E4="","",ROUNDDOWN(YEARFRAC($E4, 'Week 1 Roster'!$D$1-1, 1), 0))</f>
        <v>27</v>
      </c>
      <c r="G4" s="13">
        <f ca="1">IF($E4="","",ROUNDDOWN(YEARFRAC($E4, 'Week 1 Roster'!$D$1+14, 1), 0))</f>
        <v>27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Hotstar The Star</v>
      </c>
      <c r="L4" s="13" t="str">
        <f ca="1">IF($A4=0,"",VLOOKUP(K4,Stores!A:B,2,0))</f>
        <v>Winlada</v>
      </c>
      <c r="M4" s="14">
        <f t="shared" ca="1" si="11"/>
        <v>3.9999999999999991</v>
      </c>
      <c r="N4" s="14">
        <f t="shared" ca="1" si="12"/>
        <v>8.5</v>
      </c>
      <c r="O4" s="14">
        <f t="shared" ca="1" si="13"/>
        <v>8.5</v>
      </c>
      <c r="P4" s="14">
        <f t="shared" ca="1" si="14"/>
        <v>0</v>
      </c>
      <c r="Q4" s="14">
        <f t="shared" ca="1" si="15"/>
        <v>1.0000000000000018</v>
      </c>
      <c r="R4" s="14">
        <f t="shared" ca="1" si="16"/>
        <v>0</v>
      </c>
      <c r="S4" s="28">
        <f t="shared" ca="1" si="17"/>
        <v>3</v>
      </c>
      <c r="T4" s="14">
        <f t="shared" ca="1" si="18"/>
        <v>0</v>
      </c>
      <c r="U4" s="14">
        <f t="shared" ca="1" si="19"/>
        <v>24</v>
      </c>
      <c r="V4" s="14">
        <f t="shared" ca="1" si="20"/>
        <v>0</v>
      </c>
      <c r="W4" s="14">
        <f t="shared" ca="1" si="21"/>
        <v>46</v>
      </c>
      <c r="Y4" s="17">
        <f ca="1">IF($A4=0,0,SUMIF('Week 1 Roster'!$AZ:$AZ,$B4,'Week 1 Roster'!$AE:$AE))</f>
        <v>3.9999999999999991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1.0000000000000018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1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24</v>
      </c>
      <c r="AH4" s="17">
        <f ca="1">IF($A4=0,0,SUMIF('Week 1 Roster'!$AZ:$AZ,$B4,'Week 1 Roster'!$AS:$AS))</f>
        <v>0</v>
      </c>
      <c r="AI4" s="17">
        <f t="shared" ca="1" si="22"/>
        <v>29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8.5</v>
      </c>
      <c r="AM4" s="17">
        <f ca="1">IF($A4=0,0,SUMIF('Week 2 Roster'!$AZ:$AZ,$B4,'Week 2 Roster'!$AI:$AI))</f>
        <v>8.5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17</v>
      </c>
      <c r="AV4" s="17"/>
      <c r="AW4" s="25" t="str">
        <f>'Week 1 Roster'!A4</f>
        <v/>
      </c>
      <c r="AX4" s="25" t="str">
        <f>'Week 2 Roster'!A4</f>
        <v/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10417</v>
      </c>
      <c r="B5" s="28">
        <f t="shared" ca="1" si="9"/>
        <v>10417</v>
      </c>
      <c r="C5" s="28" t="str">
        <f ca="1">IF($A5=0,"",VLOOKUP($B5,Employees!$A:$G,2,FALSE))</f>
        <v>XinXin</v>
      </c>
      <c r="D5" s="28" t="str">
        <f ca="1">IF($A5=0,"",VLOOKUP($B5,Employees!$A:$G,3,FALSE))</f>
        <v>Liu</v>
      </c>
      <c r="E5" s="26">
        <f ca="1">IF($A5=0,"",VLOOKUP($B5,Employees!$A:$G,5,FALSE))</f>
        <v>37880</v>
      </c>
      <c r="F5" s="13">
        <f ca="1">IF($E5="","",ROUNDDOWN(YEARFRAC($E5, 'Week 1 Roster'!$D$1-1, 1), 0))</f>
        <v>22</v>
      </c>
      <c r="G5" s="13">
        <f ca="1">IF($E5="","",ROUNDDOWN(YEARFRAC($E5, 'Week 1 Roster'!$D$1+14, 1), 0))</f>
        <v>22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Hotstar The Star</v>
      </c>
      <c r="L5" s="13" t="str">
        <f ca="1">IF($A5=0,"",VLOOKUP(K5,Stores!A:B,2,0))</f>
        <v>Winlada</v>
      </c>
      <c r="M5" s="14">
        <f t="shared" ca="1" si="11"/>
        <v>2.166666666666667</v>
      </c>
      <c r="N5" s="14">
        <f t="shared" ca="1" si="12"/>
        <v>5.0000000000000009</v>
      </c>
      <c r="O5" s="14">
        <f t="shared" ca="1" si="13"/>
        <v>4.75</v>
      </c>
      <c r="P5" s="14">
        <f t="shared" ca="1" si="14"/>
        <v>0</v>
      </c>
      <c r="Q5" s="14">
        <f t="shared" ca="1" si="15"/>
        <v>1.0000000000000018</v>
      </c>
      <c r="R5" s="14">
        <f t="shared" ca="1" si="16"/>
        <v>0</v>
      </c>
      <c r="S5" s="28">
        <f t="shared" ca="1" si="17"/>
        <v>3</v>
      </c>
      <c r="T5" s="14">
        <f t="shared" ca="1" si="18"/>
        <v>0</v>
      </c>
      <c r="U5" s="14">
        <f t="shared" ca="1" si="19"/>
        <v>35.08</v>
      </c>
      <c r="V5" s="14">
        <f t="shared" ca="1" si="20"/>
        <v>0</v>
      </c>
      <c r="W5" s="14">
        <f t="shared" ca="1" si="21"/>
        <v>47.99666666666667</v>
      </c>
      <c r="Y5" s="17">
        <f ca="1">IF($A5=0,0,SUMIF('Week 1 Roster'!$AZ:$AZ,$B5,'Week 1 Roster'!$AE:$AE))</f>
        <v>2.166666666666667</v>
      </c>
      <c r="Z5" s="17">
        <f ca="1">IF($A5=0,0,SUMIF('Week 1 Roster'!$AZ:$AZ,$B5,'Week 1 Roster'!$AG:$AG))</f>
        <v>5.0000000000000009</v>
      </c>
      <c r="AA5" s="17">
        <f ca="1">IF($A5=0,0,SUMIF('Week 1 Roster'!$AZ:$AZ,$B5,'Week 1 Roster'!$AI:$AI))</f>
        <v>4.75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1.0000000000000018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3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11.08</v>
      </c>
      <c r="AH5" s="17">
        <f ca="1">IF($A5=0,0,SUMIF('Week 1 Roster'!$AZ:$AZ,$B5,'Week 1 Roster'!$AS:$AS))</f>
        <v>0</v>
      </c>
      <c r="AI5" s="17">
        <f t="shared" ca="1" si="22"/>
        <v>23.99666666666667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24</v>
      </c>
      <c r="AT5" s="17">
        <f ca="1">IF($A5=0,0,SUMIF('Week 2 Roster'!$AZ:$AZ,$B5,'Week 2 Roster'!$AS:$AS))</f>
        <v>0</v>
      </c>
      <c r="AU5" s="17">
        <f t="shared" ca="1" si="23"/>
        <v>24</v>
      </c>
      <c r="AV5" s="17"/>
      <c r="AW5" s="25" t="str">
        <f>'Week 1 Roster'!A5</f>
        <v/>
      </c>
      <c r="AX5" s="25" t="str">
        <f>'Week 2 Roster'!A5</f>
        <v/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210524</v>
      </c>
      <c r="B6" s="28">
        <f t="shared" ca="1" si="9"/>
        <v>210524</v>
      </c>
      <c r="C6" s="28" t="str">
        <f ca="1">IF($A6=0,"",VLOOKUP($B6,Employees!$A:$G,2,FALSE))</f>
        <v>Ka</v>
      </c>
      <c r="D6" s="28" t="str">
        <f ca="1">IF($A6=0,"",VLOOKUP($B6,Employees!$A:$G,3,FALSE))</f>
        <v>Wong</v>
      </c>
      <c r="E6" s="26">
        <f ca="1">IF($A6=0,"",VLOOKUP($B6,Employees!$A:$G,5,FALSE))</f>
        <v>38049</v>
      </c>
      <c r="F6" s="13">
        <f ca="1">IF($E6="","",ROUNDDOWN(YEARFRAC($E6, 'Week 1 Roster'!$D$1-1, 1), 0))</f>
        <v>21</v>
      </c>
      <c r="G6" s="13">
        <f ca="1">IF($E6="","",ROUNDDOWN(YEARFRAC($E6, 'Week 1 Roster'!$D$1+14, 1), 0))</f>
        <v>21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Hotstar The Star</v>
      </c>
      <c r="L6" s="13" t="str">
        <f ca="1">IF($A6=0,"",VLOOKUP(K6,Stores!A:B,2,0))</f>
        <v>Winlada</v>
      </c>
      <c r="M6" s="14">
        <f t="shared" ca="1" si="11"/>
        <v>0</v>
      </c>
      <c r="N6" s="14">
        <f t="shared" ca="1" si="12"/>
        <v>10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1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10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10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1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10</v>
      </c>
      <c r="AV6" s="17"/>
      <c r="AW6" s="25">
        <f>'Week 1 Roster'!A6</f>
        <v>10301</v>
      </c>
      <c r="AX6" s="25">
        <f>'Week 2 Roster'!A6</f>
        <v>10301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0</v>
      </c>
      <c r="B7" s="28" t="str">
        <f t="shared" ca="1" si="9"/>
        <v/>
      </c>
      <c r="C7" s="28" t="str">
        <f ca="1">IF($A7=0,"",VLOOKUP($B7,Employees!$A:$G,2,FALSE))</f>
        <v/>
      </c>
      <c r="D7" s="28" t="str">
        <f ca="1">IF($A7=0,"",VLOOKUP($B7,Employees!$A:$G,3,FALSE))</f>
        <v/>
      </c>
      <c r="E7" s="26" t="str">
        <f ca="1">IF($A7=0,"",VLOOKUP($B7,Employees!$A:$G,5,FALSE))</f>
        <v/>
      </c>
      <c r="F7" s="13" t="str">
        <f ca="1">IF($E7="","",ROUNDDOWN(YEARFRAC($E7, 'Week 1 Roster'!$D$1-1, 1), 0))</f>
        <v/>
      </c>
      <c r="G7" s="13" t="str">
        <f ca="1">IF($E7="","",ROUNDDOWN(YEARFRAC($E7, 'Week 1 Roster'!$D$1+14, 1), 0))</f>
        <v/>
      </c>
      <c r="H7" s="13" t="str">
        <f t="shared" ca="1" si="10"/>
        <v/>
      </c>
      <c r="I7" s="13" t="str">
        <f ca="1">IF($A7=0,"",VLOOKUP($B7,Employees!$A:$G,6,FALSE))</f>
        <v/>
      </c>
      <c r="J7" s="13" t="str">
        <f ca="1">IF($A7=0,"",VLOOKUP($B7,Employees!$A:$G,7,FALSE))</f>
        <v/>
      </c>
      <c r="K7" s="13" t="str">
        <f ca="1">IF($A7=0,"",IF(ISNA(VLOOKUP(A7,'Week 1 Roster'!A:C,2,0)),VLOOKUP(A7,'Week 2 Roster'!A:C,2,0),VLOOKUP(A7,'Week 1 Roster'!A:C,2,0)))</f>
        <v/>
      </c>
      <c r="L7" s="13" t="str">
        <f ca="1">IF($A7=0,"",VLOOKUP(K7,Stores!A:B,2,0))</f>
        <v/>
      </c>
      <c r="M7" s="14">
        <f t="shared" ca="1" si="11"/>
        <v>0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0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0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10417</v>
      </c>
      <c r="AX7" s="25">
        <f>'Week 2 Roster'!A7</f>
        <v>210524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>
        <f>'Week 2 Roster'!A8</f>
        <v>10417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410" zoomScale="186" zoomScaleNormal="186" workbookViewId="0">
      <selection activeCell="D299" sqref="D299"/>
    </sheetView>
  </sheetViews>
  <sheetFormatPr baseColWidth="10" defaultColWidth="10.83203125" defaultRowHeight="13"/>
  <cols>
    <col min="1" max="1" width="11" customWidth="1"/>
    <col min="2" max="2" width="17.1640625" bestFit="1" customWidth="1"/>
    <col min="3" max="3" width="16.1640625" customWidth="1"/>
    <col min="4" max="4" width="22.83203125" customWidth="1"/>
    <col min="5" max="5" width="1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210524</v>
      </c>
      <c r="B515" s="67" t="s">
        <v>1413</v>
      </c>
      <c r="C515" s="67" t="s">
        <v>536</v>
      </c>
      <c r="D515" s="67" t="s">
        <v>1414</v>
      </c>
      <c r="E515" s="79">
        <v>38049</v>
      </c>
      <c r="F515" s="32">
        <v>48</v>
      </c>
      <c r="G515" s="39" t="s">
        <v>1376</v>
      </c>
      <c r="I515" s="12">
        <f t="shared" si="9"/>
        <v>210524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ColWidth="11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2025-11-10T05:37:00Z</dcterms:modified>
</cp:coreProperties>
</file>