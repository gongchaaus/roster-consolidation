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8_{4C50357C-831A-EF42-851F-D32174E4FD0F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5" i="2" l="1"/>
  <c r="AD2" i="2"/>
  <c r="AZ100" i="2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69" i="2" s="1"/>
  <c r="AW69" i="12" s="1"/>
  <c r="AZ68" i="2"/>
  <c r="AZ67" i="2"/>
  <c r="AZ66" i="2"/>
  <c r="A66" i="2" s="1"/>
  <c r="AW66" i="12" s="1"/>
  <c r="AZ65" i="2"/>
  <c r="AZ64" i="2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53" i="2" s="1"/>
  <c r="AW53" i="12" s="1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21" i="2" s="1"/>
  <c r="AW21" i="12" s="1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3" i="18"/>
  <c r="AX83" i="12" s="1"/>
  <c r="A81" i="18"/>
  <c r="AX81" i="12" s="1"/>
  <c r="A80" i="18"/>
  <c r="AX80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4" i="2"/>
  <c r="AW54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8" i="2"/>
  <c r="AW28" i="12" s="1"/>
  <c r="A27" i="2"/>
  <c r="AW27" i="12" s="1"/>
  <c r="A25" i="2"/>
  <c r="AW25" i="12" s="1"/>
  <c r="A22" i="2"/>
  <c r="AW22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A3" i="12" a="1"/>
  <c r="W1" i="2" l="1"/>
  <c r="X1" i="2"/>
  <c r="CG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B3" i="12" l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Z3" i="12" l="1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V8" i="12" l="1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N12" i="12" s="1"/>
  <c r="AB12" i="12"/>
  <c r="D12" i="12"/>
  <c r="I12" i="12"/>
  <c r="AG12" i="12"/>
  <c r="AH12" i="12"/>
  <c r="C12" i="12"/>
  <c r="AM12" i="12"/>
  <c r="O12" i="12" s="1"/>
  <c r="AN12" i="12"/>
  <c r="A13" i="12" a="1"/>
  <c r="R12" i="12" l="1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S13" i="12" s="1"/>
  <c r="AR13" i="12"/>
  <c r="T13" i="12" s="1"/>
  <c r="I13" i="12"/>
  <c r="A14" i="12" a="1"/>
  <c r="O13" i="12" l="1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O14" i="12" s="1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U14" i="12" l="1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U15" i="12" s="1"/>
  <c r="AP15" i="12"/>
  <c r="AN15" i="12"/>
  <c r="D15" i="12"/>
  <c r="J15" i="12"/>
  <c r="AA15" i="12"/>
  <c r="AD15" i="12"/>
  <c r="E15" i="12"/>
  <c r="F15" i="12" s="1"/>
  <c r="AL15" i="12"/>
  <c r="AF15" i="12"/>
  <c r="T15" i="12" s="1"/>
  <c r="AQ15" i="12"/>
  <c r="AM15" i="12"/>
  <c r="A16" i="12" a="1"/>
  <c r="S15" i="12" l="1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N17" i="12" s="1"/>
  <c r="AG17" i="12"/>
  <c r="AE17" i="12"/>
  <c r="I17" i="12"/>
  <c r="C17" i="12"/>
  <c r="A18" i="12"/>
  <c r="U17" i="12" l="1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R18" i="12" s="1"/>
  <c r="C18" i="12"/>
  <c r="AO18" i="12"/>
  <c r="D18" i="12"/>
  <c r="AQ18" i="12"/>
  <c r="A19" i="12"/>
  <c r="G18" i="12"/>
  <c r="F18" i="12"/>
  <c r="U18" i="12" l="1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N19" i="12" s="1"/>
  <c r="AR19" i="12"/>
  <c r="AH19" i="12"/>
  <c r="E19" i="12"/>
  <c r="G19" i="12" s="1"/>
  <c r="AA19" i="12"/>
  <c r="I19" i="12"/>
  <c r="Y19" i="12"/>
  <c r="D19" i="12"/>
  <c r="A20" i="12"/>
  <c r="O19" i="12" l="1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Q20" i="12" s="1"/>
  <c r="AN20" i="12"/>
  <c r="AF20" i="12"/>
  <c r="AM20" i="12"/>
  <c r="E20" i="12"/>
  <c r="G20" i="12" s="1"/>
  <c r="AP20" i="12"/>
  <c r="AA20" i="12"/>
  <c r="AH20" i="12"/>
  <c r="AT20" i="12"/>
  <c r="AR20" i="12"/>
  <c r="A21" i="12"/>
  <c r="N20" i="12" l="1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AA47" i="12"/>
  <c r="K47" i="12"/>
  <c r="AB47" i="12"/>
  <c r="J47" i="12"/>
  <c r="AP47" i="12"/>
  <c r="A48" i="12" a="1"/>
  <c r="Q47" i="12" l="1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P65" i="12" s="1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R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V101" i="12" s="1"/>
  <c r="AD101" i="12"/>
  <c r="R101" i="12" s="1"/>
  <c r="AA101" i="12"/>
  <c r="Z101" i="12"/>
  <c r="J101" i="12"/>
  <c r="AN101" i="12"/>
  <c r="A102" i="12" a="1"/>
  <c r="T101" i="12" l="1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P133" i="12" l="1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S134" i="12" l="1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Q146" i="12" l="1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U151" i="12" l="1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U155" i="12" s="1"/>
  <c r="J155" i="12"/>
  <c r="K155" i="12"/>
  <c r="I155" i="12"/>
  <c r="AO155" i="12"/>
  <c r="AC155" i="12"/>
  <c r="AK155" i="12"/>
  <c r="B155" i="12"/>
  <c r="A156" i="12" a="1"/>
  <c r="R155" i="12" l="1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U162" i="12" s="1"/>
  <c r="AC162" i="12"/>
  <c r="AO162" i="12"/>
  <c r="AA162" i="12"/>
  <c r="D162" i="12"/>
  <c r="AQ162" i="12"/>
  <c r="A163" i="12" a="1"/>
  <c r="P162" i="12" l="1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O164" i="12" l="1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AB167" i="12"/>
  <c r="P167" i="12" s="1"/>
  <c r="A168" i="12" a="1"/>
  <c r="R167" i="12" l="1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U168" i="12"/>
  <c r="P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U175" i="12" s="1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Q175" i="12" l="1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Q177" i="12" s="1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N177" i="12" s="1"/>
  <c r="AG177" i="12"/>
  <c r="AH177" i="12"/>
  <c r="A178" i="12" a="1"/>
  <c r="V177" i="12" l="1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Q185" i="12" l="1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Q191" i="12" s="1"/>
  <c r="AT191" i="12"/>
  <c r="AM191" i="12"/>
  <c r="I191" i="12"/>
  <c r="B191" i="12"/>
  <c r="AK191" i="12"/>
  <c r="AQ191" i="12"/>
  <c r="AG191" i="12"/>
  <c r="Z191" i="12"/>
  <c r="A192" i="12" a="1"/>
  <c r="N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R192" i="12" s="1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P192" i="12" l="1"/>
  <c r="S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R196" i="12" s="1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V196" i="12" l="1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U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P203" i="12" s="1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O203" i="12" l="1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R207" i="12" l="1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Y211" i="12"/>
  <c r="AP211" i="12"/>
  <c r="E211" i="12"/>
  <c r="I211" i="12"/>
  <c r="AH211" i="12"/>
  <c r="V211" i="12" s="1"/>
  <c r="A212" i="12" a="1"/>
  <c r="Q211" i="12" l="1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Q213" i="12" s="1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R213" i="12" l="1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V216" i="12" l="1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V223" i="12" l="1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P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P229" i="12" s="1"/>
  <c r="AQ229" i="12"/>
  <c r="I229" i="12"/>
  <c r="AO229" i="12"/>
  <c r="AD229" i="12"/>
  <c r="AL229" i="12"/>
  <c r="AR229" i="12"/>
  <c r="AE229" i="12"/>
  <c r="AS229" i="12"/>
  <c r="K229" i="12"/>
  <c r="A230" i="12" a="1"/>
  <c r="O229" i="12" l="1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T238" i="12" l="1"/>
  <c r="R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U239" i="12" l="1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A242" i="12" a="1"/>
  <c r="Q241" i="12" l="1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S242" i="12" l="1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O253" i="12" s="1"/>
  <c r="A254" i="12" a="1"/>
  <c r="R253" i="12" l="1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V254" i="12" l="1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O262" i="12" l="1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R270" i="12" s="1"/>
  <c r="A271" i="12" a="1"/>
  <c r="N270" i="12" l="1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O273" i="12" s="1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R280" i="12" l="1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N283" i="12" s="1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O293" i="12" l="1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T297" i="12" l="1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O300" i="12" l="1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<sst xmlns="http://schemas.openxmlformats.org/spreadsheetml/2006/main" count="2383" uniqueCount="1440">
  <si>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</si>
  <si>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</si>
  <si>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</si>
  <si>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</si>
  <si>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</si>
  <si>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</si>
  <si>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</si>
  <si>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</si>
  <si>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</si>
  <si>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</si>
  <si>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</si>
  <si>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</si>
  <si>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</si>
  <si>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</si>
  <si>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</si>
  <si>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</si>
  <si>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</si>
  <si>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</si>
  <si>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</si>
  <si>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</si>
  <si>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</si>
  <si>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</si>
  <si>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</si>
  <si>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</si>
  <si>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</si>
  <si>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</si>
  <si>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</si>
  <si>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</si>
  <si>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</si>
  <si>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</si>
  <si>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</si>
  <si>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</si>
  <si>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</si>
  <si>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</si>
  <si>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</si>
  <si>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</si>
  <si>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</si>
  <si>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</si>
  <si>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</si>
  <si>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</si>
  <si>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</si>
  <si>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</si>
  <si>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</si>
  <si>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</si>
  <si>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</si>
  <si>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</si>
  <si>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</si>
  <si>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</si>
  <si>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</si>
  <si>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</si>
  <si>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</si>
  <si>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</si>
  <si>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</si>
  <si>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</si>
  <si>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</si>
  <si>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</si>
  <si>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</si>
  <si>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</si>
  <si>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</si>
  <si>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</si>
  <si>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</si>
  <si>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</si>
  <si>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</si>
  <si>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</si>
  <si>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</si>
  <si>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</si>
  <si>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</si>
  <si>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</si>
  <si>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</si>
  <si>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</si>
  <si>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</si>
  <si>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</si>
  <si>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</si>
  <si>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</si>
  <si>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</si>
  <si>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</si>
  <si>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</si>
  <si>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</si>
  <si>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</si>
  <si>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</si>
  <si>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</si>
  <si>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</si>
  <si>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</si>
  <si>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</si>
  <si>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</si>
  <si>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</si>
  <si>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</si>
  <si>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</si>
  <si>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</si>
  <si>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</si>
  <si>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</si>
  <si>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</si>
  <si>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</si>
  <si>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</si>
  <si>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</si>
  <si>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</si>
  <si>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</si>
  <si>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</si>
  <si>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</si>
  <si>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</si>
  <si>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</si>
  <si>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</si>
  <si>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</si>
  <si>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</si>
  <si>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</si>
  <si>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</si>
  <si>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</si>
  <si>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</si>
  <si>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</si>
  <si>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</si>
  <si>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</si>
  <si>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</si>
  <si>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</si>
  <si>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</si>
  <si>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</si>
  <si>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</si>
  <si>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</si>
  <si>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</si>
  <si>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</si>
  <si>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</si>
  <si>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</si>
  <si>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</si>
  <si>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</si>
  <si>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</si>
  <si>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</si>
  <si>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</si>
  <si>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</si>
  <si>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</si>
  <si>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</si>
  <si>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</si>
  <si>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</si>
  <si>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</si>
  <si>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</si>
  <si>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</si>
  <si>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</si>
  <si>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</si>
  <si>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</si>
  <si>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</si>
  <si>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</si>
  <si>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</si>
  <si>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</si>
  <si>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</si>
  <si>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</si>
  <si>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</si>
  <si>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</si>
  <si>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</si>
  <si>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</si>
  <si>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</si>
  <si>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</si>
  <si>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</si>
  <si>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</si>
  <si>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</si>
  <si>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</si>
  <si>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</si>
  <si>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</si>
  <si>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</si>
  <si>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</si>
  <si>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</si>
  <si>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</si>
  <si>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</si>
  <si>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</si>
  <si>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</si>
  <si>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</si>
  <si>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</si>
  <si>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</si>
  <si>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</si>
  <si>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</si>
  <si>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</si>
  <si>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</si>
  <si>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</si>
  <si>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</si>
  <si>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</si>
  <si>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</si>
  <si>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</si>
  <si>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</si>
  <si>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</si>
  <si>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</si>
  <si>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</si>
  <si>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</si>
  <si>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</si>
  <si>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</si>
  <si>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</si>
  <si>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</si>
  <si>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</si>
  <si>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</si>
  <si>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</si>
  <si>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</si>
  <si>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</si>
  <si>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</si>
  <si>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</si>
  <si>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</si>
  <si>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</si>
  <si>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</si>
  <si>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</si>
  <si>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</si>
  <si>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</si>
  <si>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</si>
  <si>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</si>
  <si>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</si>
  <si>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</si>
  <si>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</si>
  <si>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</si>
  <si>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</si>
  <si>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</si>
  <si>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</si>
  <si>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</si>
  <si>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</si>
  <si>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</si>
  <si>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</si>
  <si>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</si>
  <si>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</si>
  <si>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</si>
  <si>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</si>
  <si>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</si>
  <si>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</si>
  <si>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</si>
  <si>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</si>
  <si>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</si>
  <si>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</si>
  <si>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</si>
  <si>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</si>
  <si>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</si>
  <si>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</si>
  <si>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</si>
  <si>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</si>
  <si>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</si>
  <si>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</si>
  <si>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</si>
  <si>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</si>
  <si>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</si>
  <si>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</si>
  <si>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</si>
  <si>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</si>
  <si>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</si>
  <si>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</si>
  <si>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</si>
  <si>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</si>
  <si>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</si>
  <si>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</si>
  <si>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</si>
  <si>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</si>
  <si>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</si>
  <si>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</si>
  <si>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</si>
  <si>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</si>
  <si>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</si>
  <si>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</si>
  <si>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</si>
  <si>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</si>
  <si>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</si>
  <si>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</si>
  <si>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</si>
  <si>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</si>
  <si>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</si>
  <si>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</si>
  <si>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</si>
  <si>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</si>
  <si>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</si>
  <si>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</si>
  <si>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</si>
  <si>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</si>
  <si>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</si>
  <si>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</si>
  <si>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</si>
  <si>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</si>
  <si>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</si>
  <si>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</si>
  <si>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</si>
  <si>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</si>
  <si>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</si>
  <si>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</si>
  <si>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</si>
  <si>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</si>
  <si>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</si>
  <si>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</si>
  <si>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</si>
  <si>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</si>
  <si>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</si>
  <si>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</si>
  <si>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</si>
  <si>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</si>
  <si>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</si>
  <si>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</si>
  <si>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</si>
  <si>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</si>
  <si>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</si>
  <si>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</si>
  <si>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</si>
  <si>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</si>
  <si>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</si>
  <si>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</si>
  <si>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</si>
  <si>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</si>
  <si>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</si>
  <si>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</si>
  <si>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</si>
  <si>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</si>
  <si>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</si>
  <si>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</si>
  <si>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</si>
  <si>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</si>
  <si>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</si>
  <si>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</si>
  <si>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</si>
  <si>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</si>
  <si>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</si>
  <si>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</si>
  <si>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</si>
  <si>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</si>
  <si>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</si>
  <si>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</si>
  <si>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</si>
  <si>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</si>
  <si>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</si>
  <si>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</si>
  <si>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</si>
  <si>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</si>
  <si>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</si>
  <si>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</si>
  <si>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</si>
  <si>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</si>
  <si>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</si>
  <si>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</si>
  <si>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</si>
  <si>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</si>
  <si>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</si>
  <si>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</si>
  <si>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</si>
  <si>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</si>
  <si>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</si>
  <si>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</si>
  <si>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</si>
  <si>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</si>
  <si>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</si>
  <si>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</si>
  <si>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</si>
  <si>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</si>
  <si>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</si>
  <si>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</si>
  <si>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</si>
  <si>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</si>
  <si>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</si>
  <si>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</si>
  <si>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</si>
  <si>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</si>
  <si>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</si>
  <si>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</si>
  <si>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</si>
  <si>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</si>
  <si>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</si>
  <si>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</si>
  <si>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</si>
  <si>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</si>
  <si>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</si>
  <si>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</si>
  <si>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</si>
  <si>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</si>
  <si>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</si>
  <si>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</si>
  <si>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</si>
  <si>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</si>
  <si>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</si>
  <si>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</si>
  <si>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</si>
  <si>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</si>
  <si>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</si>
  <si>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</si>
  <si>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</si>
  <si>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</si>
  <si>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</si>
  <si>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</si>
  <si>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</si>
  <si>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</si>
  <si>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</si>
  <si>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</si>
  <si>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</si>
  <si>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</si>
  <si>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</si>
  <si>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</si>
  <si>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</si>
  <si>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</si>
  <si>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</si>
  <si>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</si>
  <si>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</si>
  <si>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</si>
  <si>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</si>
  <si>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</si>
  <si>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</si>
  <si>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</si>
  <si>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</si>
  <si>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</si>
  <si>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</si>
  <si>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</si>
  <si>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</si>
  <si>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</si>
  <si>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</si>
  <si>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</si>
  <si>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</si>
  <si>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</si>
  <si>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</si>
  <si>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</si>
  <si>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</si>
  <si>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</si>
  <si>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</si>
  <si>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</si>
  <si>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</si>
  <si>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</si>
  <si>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</si>
  <si>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</si>
  <si>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</si>
  <si>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</si>
  <si>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</si>
  <si>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</si>
  <si>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</si>
  <si>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</si>
  <si>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</si>
  <si>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</si>
  <si>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</si>
  <si>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</si>
  <si>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</si>
  <si>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</si>
  <si>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</si>
  <si>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</si>
  <si>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</si>
  <si>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</si>
  <si>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</si>
  <si>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</si>
  <si>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</si>
  <si>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</si>
  <si>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</si>
  <si>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</si>
  <si>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</si>
  <si>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</si>
  <si>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</si>
  <si>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</si>
  <si>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</si>
  <si>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</si>
  <si>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</si>
  <si>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</si>
  <si>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</si>
  <si>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</si>
  <si>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</si>
  <si>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</si>
  <si>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</si>
  <si>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</si>
  <si>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</si>
  <si>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</si>
  <si>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</si>
  <si>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</si>
  <si>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</si>
  <si>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</si>
  <si>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</si>
  <si>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</si>
  <si>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</si>
  <si>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</si>
  <si>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</si>
  <si>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</si>
  <si>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</si>
  <si>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</si>
  <si>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</si>
  <si>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</si>
  <si>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</si>
  <si>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</si>
  <si>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</si>
  <si>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</si>
  <si>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</si>
  <si>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</si>
  <si>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</si>
  <si>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</si>
  <si>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</si>
  <si>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</si>
  <si>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</si>
  <si>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</si>
  <si>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</si>
  <si>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</si>
  <si>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</si>
  <si>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</si>
  <si>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</si>
  <si>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</si>
  <si>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</si>
  <si>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</si>
  <si>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</si>
  <si>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</si>
  <si>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</si>
  <si>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</si>
  <si>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</si>
  <si>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</si>
  <si>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</si>
  <si>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</si>
  <si>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</si>
  <si>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</si>
  <si>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</si>
  <si>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</si>
  <si>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</si>
  <si>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</si>
  <si>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</si>
  <si>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</si>
  <si>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</si>
  <si>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</si>
  <si>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</si>
  <si>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</si>
  <si>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</si>
  <si>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</si>
  <si>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</si>
  <si>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</si>
  <si>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</si>
  <si>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</si>
  <si>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</si>
  <si>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</si>
  <si>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</si>
  <si>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</si>
  <si>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</si>
  <si>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</si>
  <si>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</si>
  <si>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</si>
  <si>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</si>
  <si>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</si>
  <si>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</si>
  <si>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</si>
  <si>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</si>
  <si>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</si>
  <si>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</si>
  <si>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</si>
  <si>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</si>
  <si>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</si>
  <si>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</si>
  <si>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</si>
  <si>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</si>
  <si>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</si>
  <si>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</si>
  <si>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</si>
  <si>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</si>
  <si>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</si>
  <si>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</si>
  <si>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</si>
  <si>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</si>
  <si>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</si>
  <si>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</si>
  <si>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</si>
  <si>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</si>
  <si>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</si>
  <si>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</si>
  <si>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</si>
  <si>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</si>
  <si>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</si>
  <si>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</si>
  <si>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</si>
  <si>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</si>
  <si>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</si>
  <si>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</si>
  <si>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</si>
  <si>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</si>
  <si>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</si>
  <si>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</si>
  <si>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</si>
  <si>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</si>
  <si>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</si>
  <si>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</si>
  <si>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</si>
  <si>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</si>
  <si>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</si>
  <si>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</si>
  <si>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</si>
  <si>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</si>
  <si>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</si>
  <si>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</si>
  <si>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</si>
  <si>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</si>
  <si>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</si>
  <si>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</si>
  <si>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</si>
  <si>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</si>
  <si>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</si>
  <si>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</si>
  <si>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</si>
  <si>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</si>
  <si>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</si>
  <si>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</si>
  <si>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</si>
  <si>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</si>
  <si>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</si>
  <si>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</si>
  <si>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</si>
  <si>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</si>
  <si>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</si>
  <si>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</si>
  <si>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</si>
  <si>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</si>
  <si>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</si>
  <si>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</si>
  <si>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</si>
  <si>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</si>
  <si>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</si>
  <si>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</si>
  <si>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</si>
  <si>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</si>
  <si>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</si>
  <si>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</si>
  <si>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</si>
  <si>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</si>
  <si>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</si>
  <si>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</si>
  <si>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</si>
  <si>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</si>
  <si>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</si>
  <si>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</si>
  <si>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</si>
  <si>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</si>
  <si>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</si>
  <si>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</si>
  <si>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</si>
  <si>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</si>
  <si>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</si>
  <si>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</si>
  <si>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</si>
  <si>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</si>
  <si>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</si>
  <si>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</si>
  <si>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</si>
  <si>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</si>
  <si>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</si>
  <si>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</si>
  <si>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</si>
  <si>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</si>
  <si>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</si>
  <si>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</si>
  <si>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</si>
  <si>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</si>
  <si>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</si>
  <si>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</si>
  <si>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</si>
  <si>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</si>
  <si>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</si>
  <si>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</si>
  <si>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</si>
  <si>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</si>
  <si>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</si>
  <si>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</si>
  <si>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</si>
  <si>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</si>
  <si>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</si>
  <si>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</si>
  <si>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</si>
  <si>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</si>
  <si>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</si>
  <si>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</si>
  <si>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</si>
  <si>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</si>
  <si>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</si>
  <si>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</si>
  <si>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</si>
  <si>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</si>
  <si>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</si>
  <si>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</si>
  <si>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</si>
  <si>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</si>
  <si>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</si>
  <si>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</si>
  <si>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</si>
  <si>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</si>
  <si>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</si>
  <si>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</si>
  <si>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</si>
  <si>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</si>
  <si>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</si>
  <si>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</si>
  <si>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</si>
  <si>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</si>
  <si>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</si>
  <si>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</si>
  <si>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</si>
  <si>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</si>
  <si>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</si>
  <si>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</si>
  <si>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</si>
  <si>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</si>
  <si>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</si>
  <si>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</si>
  <si>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</si>
  <si>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</si>
  <si>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</si>
  <si>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</si>
  <si>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</si>
  <si>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</si>
  <si>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</si>
  <si>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</si>
  <si>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</si>
  <si>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</si>
  <si>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</si>
  <si>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</si>
  <si>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</si>
  <si>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</si>
  <si>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</si>
  <si>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</si>
  <si>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</si>
  <si>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</si>
  <si>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</si>
  <si>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</si>
  <si>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</si>
  <si>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</si>
  <si>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</si>
  <si>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</si>
  <si>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</si>
  <si>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</si>
  <si>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</si>
  <si>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</si>
  <si>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</si>
  <si>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</si>
  <si>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</si>
  <si>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</si>
  <si>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</si>
  <si>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</si>
  <si>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</si>
  <si>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</si>
  <si>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</si>
  <si>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</si>
  <si>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</si>
  <si>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</si>
  <si>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</si>
  <si>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</si>
  <si>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</si>
  <si>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</si>
  <si>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</si>
  <si>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</si>
  <si>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</si>
  <si>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</si>
  <si>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</si>
  <si>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</si>
  <si>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</si>
  <si>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</si>
  <si>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</si>
  <si>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</si>
  <si>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</si>
  <si>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</si>
  <si>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</si>
  <si>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</si>
  <si>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</si>
  <si>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</si>
  <si>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</si>
  <si>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</si>
  <si>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</si>
  <si>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</si>
  <si>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</si>
  <si>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</si>
  <si>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</si>
  <si>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</si>
  <si>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</si>
  <si>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</si>
  <si>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</si>
  <si>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</si>
  <si>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</si>
  <si>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</si>
  <si>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</si>
  <si>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</si>
  <si>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</si>
  <si>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</si>
  <si>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</si>
  <si>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</si>
  <si>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</si>
  <si>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</si>
  <si>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</si>
  <si>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</si>
  <si>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</si>
  <si>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</si>
  <si>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</si>
  <si>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</si>
  <si>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</si>
  <si>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</si>
  <si>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</si>
  <si>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</si>
  <si>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</si>
  <si>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</si>
  <si>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</si>
  <si>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</si>
  <si>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</si>
  <si>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</si>
  <si>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</si>
  <si>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</si>
  <si>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</si>
  <si>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</si>
  <si>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</si>
  <si>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</si>
  <si>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</si>
  <si>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</si>
  <si>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</si>
  <si>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</si>
  <si>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</si>
  <si>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</si>
  <si>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</si>
  <si>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</si>
  <si>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</si>
  <si>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</si>
  <si>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</si>
  <si>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</si>
  <si>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</si>
  <si>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</si>
  <si>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</si>
  <si>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</si>
  <si>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</si>
  <si>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</si>
  <si>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</si>
  <si>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</si>
  <si>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</si>
  <si>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</si>
  <si>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</si>
  <si>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</si>
  <si>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</si>
  <si>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</si>
  <si>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</si>
  <si>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</si>
  <si>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</si>
  <si>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</si>
  <si>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</si>
  <si>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</si>
  <si>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</si>
  <si>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</si>
  <si>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</si>
  <si>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</si>
  <si>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</si>
  <si>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</si>
  <si>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</si>
  <si>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</si>
  <si>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</si>
  <si>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</si>
  <si>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</si>
  <si>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</si>
  <si>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</si>
  <si>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</si>
  <si>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</si>
  <si>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</si>
  <si>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</si>
  <si>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</si>
  <si>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</si>
  <si>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</si>
  <si>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</si>
  <si>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</si>
  <si>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</si>
  <si>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</si>
  <si>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</si>
  <si>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</si>
  <si>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</si>
  <si>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</si>
  <si>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</si>
  <si>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</si>
  <si>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</si>
  <si>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</si>
  <si>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</si>
  <si>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</si>
  <si>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</si>
  <si>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</si>
  <si>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</si>
  <si>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</si>
  <si>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</si>
  <si>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</si>
  <si>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</si>
  <si>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</si>
  <si>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</si>
  <si>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</si>
  <si>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</si>
  <si>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</si>
  <si>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</si>
  <si>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</si>
  <si>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</si>
  <si>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</si>
  <si>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</si>
  <si>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</si>
  <si>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</si>
  <si>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</si>
  <si>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</si>
  <si>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</si>
  <si>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</si>
  <si>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</si>
  <si>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</si>
  <si>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</si>
  <si>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</si>
  <si>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</si>
  <si>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</si>
  <si>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</si>
  <si>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</si>
  <si>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</si>
  <si>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</si>
  <si>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</si>
  <si>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</si>
  <si>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</si>
  <si>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</si>
  <si>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</si>
  <si>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</si>
  <si>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</si>
  <si>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</si>
  <si>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</si>
  <si>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</si>
  <si>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</si>
  <si>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</si>
  <si>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</si>
  <si>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</si>
  <si>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</si>
  <si>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</si>
  <si>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</si>
  <si>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</si>
  <si>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</si>
  <si>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</si>
  <si>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</si>
  <si>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</si>
  <si>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</si>
  <si>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</si>
  <si>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</si>
  <si>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</si>
  <si>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</si>
  <si>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</si>
  <si>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</si>
  <si>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</si>
  <si>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</si>
  <si>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</si>
  <si>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</si>
  <si>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</si>
  <si>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</si>
  <si>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</si>
  <si>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</si>
  <si>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</si>
  <si>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</si>
  <si>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</si>
  <si>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</si>
  <si>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</si>
  <si>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</si>
  <si>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</si>
  <si>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</si>
  <si>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</si>
  <si>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</si>
  <si>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</si>
  <si>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</si>
  <si>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</si>
  <si>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</si>
  <si>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</si>
  <si>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</si>
  <si>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</si>
  <si>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</si>
  <si>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</si>
  <si>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</si>
  <si>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</si>
  <si>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</si>
  <si>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</si>
  <si>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</si>
  <si>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</si>
  <si>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</si>
  <si>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</si>
  <si>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</si>
  <si>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</si>
  <si>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</si>
  <si>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</si>
  <si>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</si>
  <si>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</si>
  <si>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</si>
  <si>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</si>
  <si>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</si>
  <si>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</si>
  <si>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</si>
  <si>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</si>
  <si>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</si>
  <si>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</si>
  <si>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</si>
  <si>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</si>
  <si>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</si>
  <si>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</si>
  <si>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</si>
  <si>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</si>
  <si>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</si>
  <si>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</si>
  <si>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</si>
  <si>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</si>
  <si>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</si>
  <si>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</si>
  <si>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</si>
  <si>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</si>
  <si>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</si>
  <si>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</si>
  <si>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</si>
  <si>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</si>
  <si>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</si>
  <si>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</si>
  <si>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</si>
  <si>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</si>
  <si>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</si>
  <si>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</si>
  <si>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</si>
  <si>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</si>
  <si>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</si>
  <si>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</si>
  <si>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</si>
  <si>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</si>
  <si>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</si>
  <si>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</si>
  <si>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</si>
  <si>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</si>
  <si>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</si>
  <si>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</si>
  <si>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</si>
  <si>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</si>
  <si>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</si>
  <si>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</si>
  <si>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</si>
  <si>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</si>
  <si>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</si>
  <si>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</si>
  <si>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</si>
  <si>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</si>
  <si>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</si>
  <si>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</si>
  <si>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</si>
  <si>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</si>
  <si>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</si>
  <si>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</si>
  <si>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</si>
  <si>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</si>
  <si>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</si>
  <si>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</si>
  <si>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</si>
  <si>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</si>
  <si>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</si>
  <si>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</si>
  <si>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</si>
  <si>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</si>
  <si>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</si>
  <si>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</si>
  <si>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</si>
  <si>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</si>
  <si>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</si>
  <si>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</si>
  <si>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</si>
  <si>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</si>
  <si>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</si>
  <si>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</si>
  <si>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</si>
  <si>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</si>
  <si>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</si>
  <si>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</si>
  <si>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</si>
  <si>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</si>
  <si>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</si>
  <si>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</si>
  <si>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</si>
  <si>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</si>
  <si>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</si>
  <si>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</si>
  <si>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</si>
  <si>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</si>
  <si>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</si>
  <si>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</si>
  <si>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</si>
  <si>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</si>
  <si>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</si>
  <si>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</si>
  <si>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</si>
  <si>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</si>
  <si>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</si>
  <si>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</si>
  <si>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</si>
  <si>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</si>
  <si>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</si>
  <si>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</si>
  <si>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</si>
  <si>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</si>
  <si>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</si>
  <si>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</si>
  <si>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</si>
  <si>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</si>
  <si>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</si>
  <si>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</si>
  <si>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</si>
  <si>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</si>
  <si>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</si>
  <si>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</si>
  <si>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</si>
  <si>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</si>
  <si>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</si>
  <si>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</si>
  <si>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</si>
  <si>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</si>
  <si>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</si>
  <si>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</si>
  <si>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</si>
  <si>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</si>
  <si>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</si>
  <si>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</si>
  <si>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</si>
  <si>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</si>
  <si>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</si>
  <si>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</si>
  <si>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</si>
  <si>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</si>
  <si>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</si>
  <si>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</si>
  <si>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</si>
  <si>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</si>
  <si>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</si>
  <si>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</si>
  <si>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</si>
  <si>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</si>
  <si>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</si>
  <si>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</si>
  <si>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</si>
  <si>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</si>
  <si>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</si>
  <si>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</si>
  <si>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</si>
  <si>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</si>
  <si>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</si>
  <si>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</si>
  <si>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</si>
  <si>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</si>
  <si>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</si>
  <si>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</si>
  <si>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</si>
  <si>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</si>
  <si>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</si>
  <si>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</si>
  <si>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</si>
  <si>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</si>
  <si>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</si>
  <si>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</si>
  <si>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</si>
  <si>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</si>
  <si>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</si>
  <si>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</si>
  <si>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</si>
  <si>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</si>
  <si>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</si>
  <si>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</si>
  <si>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</si>
  <si>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</si>
  <si>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</si>
  <si>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</si>
  <si>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</si>
  <si>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</si>
  <si>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</si>
  <si>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</si>
  <si>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</si>
  <si>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</si>
  <si>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</si>
  <si>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</si>
  <si>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</si>
  <si>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</si>
  <si>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</si>
  <si>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</si>
  <si>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</si>
  <si>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</si>
  <si>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</si>
  <si>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</si>
  <si>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</si>
  <si>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</si>
  <si>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</si>
  <si>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</si>
  <si>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</si>
  <si>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</si>
  <si>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</si>
  <si>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</si>
  <si>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</si>
  <si>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</si>
  <si>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</si>
  <si>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</si>
  <si>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</si>
  <si>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</si>
  <si>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</si>
  <si>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</si>
  <si>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</si>
  <si>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</si>
  <si>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</si>
  <si>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</si>
  <si>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</si>
  <si>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</si>
  <si>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</si>
  <si>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</si>
  <si>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</si>
  <si>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</si>
  <si>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</si>
  <si>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</si>
  <si>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</si>
  <si>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</si>
  <si>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</si>
  <si>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</si>
  <si>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</si>
  <si>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</si>
  <si>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</si>
  <si>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</si>
  <si>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</si>
  <si>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</si>
  <si>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</si>
  <si>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</si>
  <si>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</si>
  <si>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</si>
  <si>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</si>
  <si>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</si>
  <si>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</si>
  <si>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</si>
  <si>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</si>
  <si>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</si>
  <si>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</si>
  <si>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</si>
  <si>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</si>
  <si>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</si>
  <si>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</si>
  <si>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</si>
  <si>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</si>
  <si>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</si>
  <si>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</si>
  <si>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</si>
  <si>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</si>
  <si>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</si>
  <si>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</si>
  <si>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</si>
  <si>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</si>
  <si>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</si>
  <si>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</si>
  <si>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</si>
  <si>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</si>
  <si>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</si>
  <si>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</si>
  <si>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</si>
  <si>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</si>
  <si>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</si>
  <si>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</si>
  <si>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</si>
  <si>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</si>
  <si>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</si>
  <si>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</si>
  <si>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</si>
  <si>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</si>
  <si>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</si>
  <si>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</si>
  <si>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</si>
  <si>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</si>
  <si>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</si>
  <si>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</si>
  <si>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</si>
  <si>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</si>
  <si>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</si>
  <si>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</si>
  <si>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</si>
  <si>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</si>
  <si>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</si>
  <si>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</si>
  <si>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</si>
  <si>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</si>
  <si>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</si>
  <si>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</si>
  <si>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</si>
  <si>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</si>
  <si>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</si>
  <si>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</si>
  <si>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</si>
  <si>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</si>
  <si>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</si>
  <si>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</si>
  <si>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</si>
  <si>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</si>
  <si>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</si>
  <si>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</si>
  <si>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</si>
  <si>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</si>
  <si>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</si>
  <si>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</si>
  <si>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</si>
  <si>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</si>
  <si>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</si>
  <si>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</si>
  <si>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</si>
  <si>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</si>
  <si>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</si>
  <si>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</si>
  <si>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</si>
  <si>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</si>
  <si>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</si>
  <si>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</si>
  <si>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</si>
  <si>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</si>
  <si>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</si>
  <si>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</si>
  <si>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</si>
  <si>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</si>
  <si>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</si>
  <si>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</si>
  <si>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</si>
  <si>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</si>
  <si>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</si>
  <si>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</si>
  <si>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</si>
  <si>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</si>
  <si>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</si>
  <si>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</si>
  <si>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</si>
  <si>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</si>
  <si>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</si>
  <si>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</si>
  <si>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</si>
  <si>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</si>
  <si>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</si>
  <si>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</si>
  <si>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</si>
  <si>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</si>
  <si>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</si>
  <si>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</si>
  <si>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</si>
  <si>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</si>
  <si>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</si>
  <si>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</si>
  <si>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</si>
  <si>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</si>
  <si>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</si>
  <si>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</si>
  <si>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</si>
  <si>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</si>
  <si>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</si>
  <si>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</si>
  <si>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</si>
  <si>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</si>
  <si>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</si>
  <si>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</si>
  <si>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</si>
  <si>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</si>
  <si>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</si>
  <si>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</si>
  <si>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</si>
  <si>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</si>
  <si>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</si>
  <si>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</si>
  <si>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</si>
  <si>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</si>
  <si>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</si>
  <si>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</si>
  <si>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</si>
  <si>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</si>
  <si>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</si>
  <si>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</si>
  <si>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</si>
  <si>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</si>
  <si>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</si>
  <si>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</si>
  <si>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</si>
  <si>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</si>
  <si>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</si>
  <si>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</si>
  <si>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</si>
  <si>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</si>
  <si>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</si>
  <si>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</si>
  <si>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</si>
  <si>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</si>
  <si>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</si>
  <si>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</si>
  <si>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</si>
  <si>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</si>
  <si>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</si>
  <si>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</si>
  <si>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</si>
  <si>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</si>
  <si>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</si>
  <si>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</si>
  <si>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</si>
  <si>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</si>
  <si>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</si>
  <si>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</si>
  <si>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</si>
  <si>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</si>
  <si>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</si>
  <si>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</si>
  <si>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</si>
  <si>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</si>
  <si>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</si>
  <si>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</si>
  <si>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</si>
  <si>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</si>
  <si>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</si>
  <si>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</si>
  <si>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</si>
  <si>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</si>
  <si>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</si>
  <si>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</si>
  <si>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</si>
  <si>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</si>
  <si>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</si>
  <si>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</si>
  <si>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</si>
  <si>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</si>
  <si>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</si>
  <si>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</si>
  <si>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</si>
  <si>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</si>
  <si>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</si>
  <si>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</si>
  <si>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</si>
  <si>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</si>
  <si>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</si>
  <si>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</si>
  <si>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</si>
  <si>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</si>
  <si>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</si>
  <si>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</si>
  <si>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</si>
  <si>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</si>
  <si>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</si>
  <si>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</si>
  <si>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</si>
  <si>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</si>
  <si>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</si>
  <si>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</si>
  <si>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</si>
  <si>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</si>
  <si>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</si>
  <si>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</si>
  <si>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</si>
  <si>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</si>
  <si>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</si>
  <si>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</si>
  <si>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</si>
  <si>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</si>
  <si>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</si>
  <si>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</si>
  <si>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</si>
  <si>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</si>
  <si>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</si>
  <si>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</si>
  <si>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</si>
  <si>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</si>
  <si>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</si>
  <si>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</si>
  <si>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</si>
  <si>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</si>
  <si>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</si>
  <si>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</si>
  <si>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</si>
  <si>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</si>
  <si>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</si>
  <si>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</si>
  <si>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</si>
  <si>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</si>
  <si>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+ 0.5h break on Sat 11/01</t>
  </si>
  <si>
    <t>+ 0.5h break on Mon 10/27 + 0.5h break on Thur 10/30</t>
  </si>
  <si>
    <t>+ 1.5h go to bank on Thu 10/30 + 1h roster making + 0.5h break on Sun 11/02</t>
  </si>
  <si>
    <t>+ 1h roster making</t>
  </si>
  <si>
    <t>+ 0.5h break on Sun 11/09</t>
  </si>
  <si>
    <t>Wed: 13:08-15:10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</si>
</sst>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43" fillId="0" borderId="0" xfId="0" quotePrefix="1" applyFont="1" applyAlignment="1" applyProtection="1">
      <alignment wrapText="1"/>
      <protection locked="0"/>
    </xf>
  </cellXfs>
  <cellStyles count="1">
    <cellStyle name="Normal" xfId="0" builtinId="0"/>
  </cellStyles>
  <dxfs count="21">
    <dxf>
      <font>
        <color rgb="FF00B0F0"/>
      </font>
      <fill>
        <patternFill patternType="none"/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K10" sqref="K10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10306</v>
      </c>
      <c r="B2" s="81" t="s">
        <v>900</v>
      </c>
      <c r="C2" s="91" t="s">
        <v>858</v>
      </c>
      <c r="D2" s="101">
        <v>0.75</v>
      </c>
      <c r="E2" s="84">
        <v>0.97222222222222221</v>
      </c>
      <c r="F2" s="92">
        <f>BA2-BB2</f>
        <v>5.333333333333333</v>
      </c>
      <c r="G2" s="84"/>
      <c r="H2" s="84"/>
      <c r="I2" s="92">
        <f>BF2-BG2</f>
        <v>0</v>
      </c>
      <c r="J2" s="84"/>
      <c r="K2" s="84"/>
      <c r="L2" s="92">
        <f>BK2-BL2</f>
        <v>0</v>
      </c>
      <c r="M2" s="84">
        <v>0.83333333333333337</v>
      </c>
      <c r="N2" s="101">
        <v>0.96944444444444444</v>
      </c>
      <c r="O2" s="92">
        <f>BP2-BQ2</f>
        <v>3.2666666666666657</v>
      </c>
      <c r="P2" s="101">
        <v>0.75486111111111109</v>
      </c>
      <c r="Q2" s="84">
        <v>0.97152777777777777</v>
      </c>
      <c r="R2" s="92">
        <f>BU2-BV2</f>
        <v>5.2</v>
      </c>
      <c r="S2" s="84"/>
      <c r="T2" s="84"/>
      <c r="U2" s="92">
        <f>BZ2-CA2</f>
        <v>0</v>
      </c>
      <c r="V2" s="84">
        <v>0.72222222222222221</v>
      </c>
      <c r="W2" s="84">
        <v>0.95833333333333337</v>
      </c>
      <c r="X2" s="92">
        <f>CE2-CF2</f>
        <v>5.1666666666666679</v>
      </c>
      <c r="Y2" s="92"/>
      <c r="Z2" s="92"/>
      <c r="AA2" s="92"/>
      <c r="AB2" s="92">
        <f>SUM(F2,I2,L2,O2,R2,U2,X2)</f>
        <v>18.966666666666665</v>
      </c>
      <c r="AC2" s="93"/>
      <c r="AD2" s="78">
        <f>1.5+1</f>
        <v>2.5</v>
      </c>
      <c r="AE2" s="94">
        <f t="shared" ref="AE2:AE40" si="1">SUMIF($BC$1:$CI$1,AE$1,$BC2:$CI2)+AD2</f>
        <v>12.383333333333329</v>
      </c>
      <c r="AF2" s="77"/>
      <c r="AG2" s="94">
        <f t="shared" ref="AG2:AG40" si="2">SUMIF($BC$1:$CI$1,AG$1,$BC2:$CI2)+AF2</f>
        <v>0</v>
      </c>
      <c r="AH2" s="78">
        <v>0.5</v>
      </c>
      <c r="AI2" s="94">
        <f t="shared" ref="AI2:AI40" si="3">SUMIF($BC$1:$CI$1,AI$1,$BC2:$CI2)+AH2</f>
        <v>5.6666666666666679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3.9166666666666687</v>
      </c>
      <c r="AN2" s="77"/>
      <c r="AO2" s="94">
        <f t="shared" ref="AO2:AO40" si="6">SUMIF($BC$1:$CI$1,AO$1,$BC2:$CI2)+AN2</f>
        <v>0</v>
      </c>
      <c r="AP2" s="95">
        <f>CK2</f>
        <v>4</v>
      </c>
      <c r="AQ2" s="77"/>
      <c r="AR2" s="77"/>
      <c r="AS2" s="77"/>
      <c r="AT2" s="44">
        <f>AE2+AG2+AI2+AK2+AM2+AO2+SUM(AQ2:AS2)</f>
        <v>21.966666666666665</v>
      </c>
      <c r="AU2" s="102" t="s">
        <v>1436</v>
      </c>
      <c r="AV2" s="5"/>
      <c r="AW2" s="5"/>
      <c r="AX2" s="5"/>
      <c r="AY2" s="5"/>
      <c r="AZ2" s="24">
        <f>VLOOKUP(C2,Employees!D:I,6,FALSE)</f>
        <v>10306</v>
      </c>
      <c r="BA2" s="5">
        <f>IF(ISBLANK(D2),0,(E2-D2)*24)</f>
        <v>5.333333333333333</v>
      </c>
      <c r="BB2" s="5">
        <f>IF(BA2&gt;$AY$1,1,IF(BA2&gt;=$AX$1,0.5,0))</f>
        <v>0</v>
      </c>
      <c r="BC2" s="5">
        <f>BA2-BB2-BD2-BE2</f>
        <v>3.9999999999999991</v>
      </c>
      <c r="BD2" s="5">
        <f>IF(AND(E2&gt;$AV$1, D2&lt;$AW$1),(MIN(E2,$AW$1)-MAX(D2,$AV$1))*24,0)</f>
        <v>1.3333333333333339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3.2666666666666657</v>
      </c>
      <c r="BQ2" s="5">
        <f>IF(BP2&gt;$AY$1,1,IF(BP2&gt;=$AX$1,0.5,0))</f>
        <v>0</v>
      </c>
      <c r="BR2" s="5">
        <f>BP2-BQ2-BS2-BT2</f>
        <v>1.9999999999999982</v>
      </c>
      <c r="BS2" s="5">
        <f>IF(AND(N2&gt;$AV$1, M2&lt;$AW$1),(MIN(N2,$AW$1)-MAX(M2,$AV$1))*24,0)</f>
        <v>1.2666666666666675</v>
      </c>
      <c r="BT2" s="5">
        <f>IF(N2&gt;$AW$1,(N2-MAX(M2,$AW$1))*24,0)</f>
        <v>0</v>
      </c>
      <c r="BU2" s="5">
        <f t="shared" ref="BU2" si="10">IF(ISBLANK(P2),0,(Q2-P2)*24)</f>
        <v>5.2</v>
      </c>
      <c r="BV2" s="5">
        <f>IF(BU2&gt;$AY$1,1,IF(BU2&gt;=$AX$1,0.5,0))</f>
        <v>0</v>
      </c>
      <c r="BW2" s="5">
        <f>BU2-BV2-BX2-BY2</f>
        <v>3.8833333333333329</v>
      </c>
      <c r="BX2" s="5">
        <f>IF(AND(Q2&gt;$AV$1, P2&lt;$AW$1),(MIN(Q2,$AW$1)-MAX(P2,$AV$1))*24,0)</f>
        <v>1.3166666666666673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5.6666666666666679</v>
      </c>
      <c r="CF2" s="5">
        <f>IF(CE2&gt;$AY$1,1,IF(CE2&gt;=$AX$1,0.5,0))</f>
        <v>0.5</v>
      </c>
      <c r="CG2" s="5">
        <f>CE2-CF2-CH2-CI2</f>
        <v>4.1666666666666661</v>
      </c>
      <c r="CH2" s="5">
        <f>IF(AND(W2&gt;$AV$1, V2&lt;$AW$1),(MIN(W2,$AW$1)-MAX(V2,$AV$1))*24,0)</f>
        <v>1.0000000000000018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10386</v>
      </c>
      <c r="B3" s="81" t="s">
        <v>900</v>
      </c>
      <c r="C3" s="91" t="s">
        <v>1064</v>
      </c>
      <c r="D3" s="101"/>
      <c r="E3" s="84"/>
      <c r="F3" s="92">
        <f t="shared" ref="F3:F69" si="15">BA3-BB3</f>
        <v>0</v>
      </c>
      <c r="G3" s="84"/>
      <c r="H3" s="84"/>
      <c r="I3" s="92">
        <f t="shared" ref="I3:I69" si="16">BF3-BG3</f>
        <v>0</v>
      </c>
      <c r="J3" s="84"/>
      <c r="K3" s="84"/>
      <c r="L3" s="92">
        <f t="shared" ref="L3:L69" si="17">BK3-BL3</f>
        <v>0</v>
      </c>
      <c r="M3" s="84"/>
      <c r="N3" s="101"/>
      <c r="O3" s="92">
        <f t="shared" ref="O3:O69" si="18">BP3-BQ3</f>
        <v>0</v>
      </c>
      <c r="P3" s="101">
        <v>0.41666666666666669</v>
      </c>
      <c r="Q3" s="84">
        <v>0.79166666666666663</v>
      </c>
      <c r="R3" s="92">
        <f t="shared" ref="R3:R69" si="19">BU3-BV3</f>
        <v>8.4999999999999982</v>
      </c>
      <c r="S3" s="84">
        <v>0.41666666666666669</v>
      </c>
      <c r="T3" s="84">
        <v>0.79236111111111107</v>
      </c>
      <c r="U3" s="92">
        <f t="shared" ref="U3:U69" si="20">BZ3-CA3</f>
        <v>8.0166666666666657</v>
      </c>
      <c r="V3" s="84"/>
      <c r="W3" s="84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16.516666666666666</v>
      </c>
      <c r="AC3" s="93"/>
      <c r="AD3" s="78"/>
      <c r="AE3" s="94">
        <f t="shared" si="1"/>
        <v>8.4999999999999982</v>
      </c>
      <c r="AF3" s="77">
        <v>0.5</v>
      </c>
      <c r="AG3" s="94">
        <f t="shared" si="2"/>
        <v>8.5166666666666657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2</v>
      </c>
      <c r="AQ3" s="77"/>
      <c r="AR3" s="77"/>
      <c r="AS3" s="77"/>
      <c r="AT3" s="44">
        <f t="shared" ref="AT3:AT69" si="24">AE3+AG3+AI3+AK3+AM3+AO3+SUM(AQ3:AS3)</f>
        <v>17.016666666666666</v>
      </c>
      <c r="AU3" s="102" t="s">
        <v>1434</v>
      </c>
      <c r="AV3" s="5"/>
      <c r="AW3" s="5"/>
      <c r="AX3" s="5"/>
      <c r="AY3" s="5"/>
      <c r="AZ3" s="24">
        <f>VLOOKUP(C3,Employees!D:I,6,FALSE)</f>
        <v>10386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8.9999999999999982</v>
      </c>
      <c r="BV3" s="5">
        <f t="shared" ref="BV3:BV66" si="45">IF(BU3&gt;$AY$1,1,IF(BU3&gt;=$AX$1,0.5,0))</f>
        <v>0.5</v>
      </c>
      <c r="BW3" s="5">
        <f t="shared" ref="BW3:BW66" si="46">BU3-BV3-BX3-BY3</f>
        <v>8.4999999999999982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9.0166666666666657</v>
      </c>
      <c r="CA3" s="5">
        <f t="shared" ref="CA3:CA66" si="49">IF(BZ3&gt;$AY$1,1,IF(BZ3&gt;=$AX$1,0.5,0))</f>
        <v>1</v>
      </c>
      <c r="CB3" s="5">
        <f t="shared" ref="CB3:CB66" si="50">BZ3-CA3-CC3-CD3</f>
        <v>8.0166666666666657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>
        <f t="shared" si="0"/>
        <v>10376</v>
      </c>
      <c r="B4" s="81" t="s">
        <v>900</v>
      </c>
      <c r="C4" s="85" t="s">
        <v>1035</v>
      </c>
      <c r="D4" s="84"/>
      <c r="E4" s="84"/>
      <c r="F4" s="92">
        <f t="shared" si="15"/>
        <v>0</v>
      </c>
      <c r="G4" s="84">
        <v>0.75</v>
      </c>
      <c r="H4" s="84">
        <v>0.97291666666666665</v>
      </c>
      <c r="I4" s="92">
        <f t="shared" si="16"/>
        <v>5.35</v>
      </c>
      <c r="J4" s="84">
        <v>0.50347222222222221</v>
      </c>
      <c r="K4" s="84">
        <v>0.7944444444444444</v>
      </c>
      <c r="L4" s="92">
        <f t="shared" si="17"/>
        <v>6.4833333333333325</v>
      </c>
      <c r="M4" s="84"/>
      <c r="N4" s="84"/>
      <c r="O4" s="92">
        <f t="shared" si="18"/>
        <v>0</v>
      </c>
      <c r="P4" s="75"/>
      <c r="Q4" s="75"/>
      <c r="R4" s="92">
        <f t="shared" si="19"/>
        <v>0</v>
      </c>
      <c r="S4" s="84">
        <v>0.75763888888888886</v>
      </c>
      <c r="T4" s="84">
        <v>0.97499999999999998</v>
      </c>
      <c r="U4" s="92">
        <f t="shared" si="20"/>
        <v>5.2166666666666668</v>
      </c>
      <c r="V4" s="84">
        <v>0.5</v>
      </c>
      <c r="W4" s="84">
        <v>0.72430555555555554</v>
      </c>
      <c r="X4" s="92">
        <f t="shared" si="21"/>
        <v>5.3833333333333329</v>
      </c>
      <c r="Y4" s="92"/>
      <c r="Z4" s="92"/>
      <c r="AA4" s="92"/>
      <c r="AB4" s="92">
        <f t="shared" si="22"/>
        <v>22.43333333333333</v>
      </c>
      <c r="AC4" s="93"/>
      <c r="AD4" s="78"/>
      <c r="AE4" s="94">
        <f t="shared" si="1"/>
        <v>10.483333333333331</v>
      </c>
      <c r="AF4" s="77"/>
      <c r="AG4" s="94">
        <f t="shared" si="2"/>
        <v>5.2166666666666668</v>
      </c>
      <c r="AH4" s="78"/>
      <c r="AI4" s="94">
        <f t="shared" si="3"/>
        <v>5.3833333333333329</v>
      </c>
      <c r="AJ4" s="77"/>
      <c r="AK4" s="94">
        <f t="shared" si="4"/>
        <v>0</v>
      </c>
      <c r="AL4" s="77"/>
      <c r="AM4" s="94">
        <f t="shared" si="5"/>
        <v>1.3500000000000005</v>
      </c>
      <c r="AN4" s="77"/>
      <c r="AO4" s="94">
        <f t="shared" si="6"/>
        <v>0</v>
      </c>
      <c r="AP4" s="95">
        <f t="shared" si="23"/>
        <v>4</v>
      </c>
      <c r="AQ4" s="77"/>
      <c r="AR4" s="77"/>
      <c r="AS4" s="77"/>
      <c r="AT4" s="44">
        <f t="shared" si="24"/>
        <v>22.43333333333333</v>
      </c>
      <c r="AU4" s="78"/>
      <c r="AV4" s="5"/>
      <c r="AW4" s="5"/>
      <c r="AX4" s="5"/>
      <c r="AY4" s="5"/>
      <c r="AZ4" s="24">
        <f>VLOOKUP(C4,Employees!D:I,6,FALSE)</f>
        <v>10376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5.35</v>
      </c>
      <c r="BG4" s="5">
        <f t="shared" si="30"/>
        <v>0</v>
      </c>
      <c r="BH4" s="5">
        <f t="shared" si="31"/>
        <v>3.9999999999999991</v>
      </c>
      <c r="BI4" s="5">
        <f t="shared" si="32"/>
        <v>1.3500000000000005</v>
      </c>
      <c r="BJ4" s="5">
        <f t="shared" si="33"/>
        <v>0</v>
      </c>
      <c r="BK4" s="5">
        <f t="shared" si="34"/>
        <v>6.9833333333333325</v>
      </c>
      <c r="BL4" s="5">
        <f t="shared" si="35"/>
        <v>0.5</v>
      </c>
      <c r="BM4" s="5">
        <f t="shared" si="36"/>
        <v>6.4833333333333325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5.2166666666666668</v>
      </c>
      <c r="CA4" s="5">
        <f t="shared" si="49"/>
        <v>0</v>
      </c>
      <c r="CB4" s="5">
        <f t="shared" si="50"/>
        <v>3.8166666666666664</v>
      </c>
      <c r="CC4" s="5">
        <f t="shared" si="51"/>
        <v>1.4000000000000004</v>
      </c>
      <c r="CD4" s="5">
        <f t="shared" si="52"/>
        <v>0</v>
      </c>
      <c r="CE4" s="5">
        <f t="shared" si="53"/>
        <v>5.3833333333333329</v>
      </c>
      <c r="CF4" s="5">
        <f t="shared" si="54"/>
        <v>0</v>
      </c>
      <c r="CG4" s="5">
        <f t="shared" si="55"/>
        <v>5.3833333333333329</v>
      </c>
      <c r="CH4" s="5">
        <f t="shared" si="56"/>
        <v>0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210444</v>
      </c>
      <c r="B5" s="81" t="s">
        <v>900</v>
      </c>
      <c r="C5" s="85" t="s">
        <v>1213</v>
      </c>
      <c r="D5" s="84">
        <v>0.41666666666666669</v>
      </c>
      <c r="E5" s="84">
        <v>0.75</v>
      </c>
      <c r="F5" s="92">
        <f t="shared" si="15"/>
        <v>7.5</v>
      </c>
      <c r="G5" s="84"/>
      <c r="H5" s="84"/>
      <c r="I5" s="92">
        <f t="shared" si="16"/>
        <v>0</v>
      </c>
      <c r="J5" s="84">
        <v>0.77083333333333337</v>
      </c>
      <c r="K5" s="84">
        <v>0.96527777777777779</v>
      </c>
      <c r="L5" s="92">
        <f t="shared" si="17"/>
        <v>4.6666666666666661</v>
      </c>
      <c r="M5" s="84">
        <v>0.41666666666666669</v>
      </c>
      <c r="N5" s="84">
        <v>0.83402777777777781</v>
      </c>
      <c r="O5" s="92">
        <f t="shared" si="18"/>
        <v>9.0166666666666675</v>
      </c>
      <c r="P5" s="75"/>
      <c r="Q5" s="75"/>
      <c r="R5" s="92">
        <f t="shared" si="19"/>
        <v>0</v>
      </c>
      <c r="S5" s="84"/>
      <c r="T5" s="84"/>
      <c r="U5" s="92">
        <f t="shared" si="20"/>
        <v>0</v>
      </c>
      <c r="V5" s="84"/>
      <c r="W5" s="84"/>
      <c r="X5" s="92">
        <f t="shared" si="21"/>
        <v>0</v>
      </c>
      <c r="Y5" s="92"/>
      <c r="Z5" s="92"/>
      <c r="AA5" s="92"/>
      <c r="AB5" s="92">
        <f t="shared" si="22"/>
        <v>21.183333333333334</v>
      </c>
      <c r="AC5" s="93"/>
      <c r="AD5" s="78">
        <f>0.5+0.5</f>
        <v>1</v>
      </c>
      <c r="AE5" s="94">
        <f t="shared" si="1"/>
        <v>21.016666666666666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1.1666666666666679</v>
      </c>
      <c r="AN5" s="77"/>
      <c r="AO5" s="94">
        <f t="shared" si="6"/>
        <v>0</v>
      </c>
      <c r="AP5" s="95">
        <f t="shared" si="23"/>
        <v>3</v>
      </c>
      <c r="AQ5" s="77"/>
      <c r="AR5" s="77"/>
      <c r="AS5" s="77"/>
      <c r="AT5" s="44">
        <f t="shared" si="24"/>
        <v>22.183333333333334</v>
      </c>
      <c r="AU5" s="102" t="s">
        <v>1435</v>
      </c>
      <c r="AV5" s="5"/>
      <c r="AW5" s="5"/>
      <c r="AX5" s="5"/>
      <c r="AY5" s="5"/>
      <c r="AZ5" s="24">
        <f>VLOOKUP(C5,Employees!D:I,6,FALSE)</f>
        <v>210444</v>
      </c>
      <c r="BA5" s="5">
        <f t="shared" si="25"/>
        <v>8</v>
      </c>
      <c r="BB5" s="5">
        <f t="shared" si="26"/>
        <v>0.5</v>
      </c>
      <c r="BC5" s="5">
        <f t="shared" si="27"/>
        <v>7.5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4.6666666666666661</v>
      </c>
      <c r="BL5" s="5">
        <f t="shared" si="35"/>
        <v>0</v>
      </c>
      <c r="BM5" s="5">
        <f t="shared" si="36"/>
        <v>3.4999999999999982</v>
      </c>
      <c r="BN5" s="5">
        <f t="shared" si="37"/>
        <v>1.1666666666666679</v>
      </c>
      <c r="BO5" s="5">
        <f t="shared" si="38"/>
        <v>0</v>
      </c>
      <c r="BP5" s="5">
        <f t="shared" si="39"/>
        <v>10.016666666666667</v>
      </c>
      <c r="BQ5" s="5">
        <f t="shared" si="40"/>
        <v>1</v>
      </c>
      <c r="BR5" s="5">
        <f t="shared" si="41"/>
        <v>9.0166666666666675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3</v>
      </c>
    </row>
    <row r="6" spans="1:89" ht="38" customHeight="1">
      <c r="A6" s="74">
        <f t="shared" si="0"/>
        <v>210432</v>
      </c>
      <c r="B6" s="81" t="s">
        <v>900</v>
      </c>
      <c r="C6" s="85" t="s">
        <v>1184</v>
      </c>
      <c r="D6" s="84"/>
      <c r="E6" s="84"/>
      <c r="F6" s="92">
        <f t="shared" si="15"/>
        <v>0</v>
      </c>
      <c r="G6" s="84">
        <v>0.42499999999999999</v>
      </c>
      <c r="H6" s="84">
        <v>0.75</v>
      </c>
      <c r="I6" s="92">
        <f t="shared" si="16"/>
        <v>7.3000000000000007</v>
      </c>
      <c r="J6" s="84"/>
      <c r="K6" s="84"/>
      <c r="L6" s="92">
        <f t="shared" si="17"/>
        <v>0</v>
      </c>
      <c r="M6" s="75"/>
      <c r="N6" s="75"/>
      <c r="O6" s="92">
        <f t="shared" si="18"/>
        <v>0</v>
      </c>
      <c r="P6" s="75"/>
      <c r="Q6" s="75"/>
      <c r="R6" s="92">
        <f t="shared" si="19"/>
        <v>0</v>
      </c>
      <c r="S6" s="84"/>
      <c r="T6" s="84"/>
      <c r="U6" s="92">
        <f t="shared" si="20"/>
        <v>0</v>
      </c>
      <c r="V6" s="84">
        <v>0.41666666666666669</v>
      </c>
      <c r="W6" s="84">
        <v>0.625</v>
      </c>
      <c r="X6" s="92">
        <f t="shared" si="21"/>
        <v>5</v>
      </c>
      <c r="Y6" s="92"/>
      <c r="Z6" s="92"/>
      <c r="AA6" s="92"/>
      <c r="AB6" s="92">
        <f t="shared" si="22"/>
        <v>12.3</v>
      </c>
      <c r="AC6" s="93"/>
      <c r="AD6" s="78">
        <v>2.0299999999999998</v>
      </c>
      <c r="AE6" s="94">
        <f t="shared" si="1"/>
        <v>9.33</v>
      </c>
      <c r="AF6" s="77"/>
      <c r="AG6" s="94">
        <f t="shared" si="2"/>
        <v>0</v>
      </c>
      <c r="AH6" s="78"/>
      <c r="AI6" s="94">
        <f t="shared" si="3"/>
        <v>5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14.33</v>
      </c>
      <c r="AU6" s="78" t="s">
        <v>1439</v>
      </c>
      <c r="AV6" s="5"/>
      <c r="AW6" s="5"/>
      <c r="AX6" s="5"/>
      <c r="AY6" s="5"/>
      <c r="AZ6" s="24">
        <f>VLOOKUP(C6,Employees!D:I,6,FALSE)</f>
        <v>210432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7.8000000000000007</v>
      </c>
      <c r="BG6" s="5">
        <f t="shared" si="30"/>
        <v>0.5</v>
      </c>
      <c r="BH6" s="5">
        <f t="shared" si="31"/>
        <v>7.3000000000000007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5</v>
      </c>
      <c r="CF6" s="5">
        <f t="shared" si="54"/>
        <v>0</v>
      </c>
      <c r="CG6" s="5">
        <f t="shared" si="55"/>
        <v>5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210446</v>
      </c>
      <c r="B7" s="81" t="s">
        <v>900</v>
      </c>
      <c r="C7" s="85" t="s">
        <v>1217</v>
      </c>
      <c r="D7" s="75"/>
      <c r="E7" s="75"/>
      <c r="F7" s="92">
        <f t="shared" si="15"/>
        <v>0</v>
      </c>
      <c r="G7" s="75"/>
      <c r="H7" s="75"/>
      <c r="I7" s="92">
        <f t="shared" si="16"/>
        <v>0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101">
        <v>0.50416666666666665</v>
      </c>
      <c r="T7" s="84">
        <v>0.70833333333333337</v>
      </c>
      <c r="U7" s="92">
        <f t="shared" si="20"/>
        <v>4.9000000000000012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4.9000000000000012</v>
      </c>
      <c r="AC7" s="93"/>
      <c r="AD7" s="78"/>
      <c r="AE7" s="94">
        <f t="shared" si="1"/>
        <v>0</v>
      </c>
      <c r="AF7" s="77"/>
      <c r="AG7" s="94">
        <f t="shared" si="2"/>
        <v>4.9000000000000012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1</v>
      </c>
      <c r="AQ7" s="77"/>
      <c r="AR7" s="77"/>
      <c r="AS7" s="77"/>
      <c r="AT7" s="44">
        <f t="shared" si="24"/>
        <v>4.9000000000000012</v>
      </c>
      <c r="AU7" s="78"/>
      <c r="AV7" s="5"/>
      <c r="AW7" s="5"/>
      <c r="AX7" s="5"/>
      <c r="AY7" s="5"/>
      <c r="AZ7" s="24">
        <f>VLOOKUP(C7,Employees!D:I,6,FALSE)</f>
        <v>210446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4.9000000000000012</v>
      </c>
      <c r="CA7" s="5">
        <f t="shared" si="49"/>
        <v>0</v>
      </c>
      <c r="CB7" s="5">
        <f t="shared" si="50"/>
        <v>4.9000000000000012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 t="str">
        <f t="shared" si="0"/>
        <v/>
      </c>
      <c r="B8" s="73"/>
      <c r="C8" s="98"/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73"/>
      <c r="C9" s="98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9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9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0" priority="697" operator="equal">
      <formula>"Pub"</formula>
    </cfRule>
  </conditionalFormatting>
  <conditionalFormatting sqref="F2:F100 I2:I100 L2:L100 O2:O100 R2:R100 U2:U100 X2:AB100 AT2:AT100">
    <cfRule type="cellIs" dxfId="19" priority="699" operator="lessThan">
      <formula>0</formula>
    </cfRule>
    <cfRule type="cellIs" dxfId="18" priority="700" operator="between">
      <formula>3</formula>
      <formula>0.01</formula>
    </cfRule>
    <cfRule type="cellIs" dxfId="17" priority="772" operator="lessThan">
      <formula>SUMIF($C:$C,$C2,F:F)</formula>
    </cfRule>
  </conditionalFormatting>
  <conditionalFormatting sqref="AD6:AD100">
    <cfRule type="notContainsBlanks" dxfId="16" priority="2">
      <formula>LEN(TRIM(AD6))&gt;0</formula>
    </cfRule>
  </conditionalFormatting>
  <conditionalFormatting sqref="AF2:AF100 AJ2:AJ100 AL2:AL100 AN2:AN100 AQ2:AS100">
    <cfRule type="notContainsBlanks" dxfId="15" priority="773">
      <formula>LEN(TRIM(AF2))&gt;0</formula>
    </cfRule>
  </conditionalFormatting>
  <conditionalFormatting sqref="AH2:AH100">
    <cfRule type="notContainsBlanks" dxfId="14" priority="3">
      <formula>LEN(TRIM(AH2))&gt;0</formula>
    </cfRule>
  </conditionalFormatting>
  <conditionalFormatting sqref="AT1">
    <cfRule type="cellIs" dxfId="13" priority="692" operator="equal">
      <formula>"Pub"</formula>
    </cfRule>
  </conditionalFormatting>
  <conditionalFormatting sqref="AD2:AD5">
    <cfRule type="notContainsBlanks" dxfId="0" priority="1">
      <formula>LEN(TRIM(AD2))&gt;0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10306</v>
      </c>
      <c r="B2" s="81" t="s">
        <v>900</v>
      </c>
      <c r="C2" s="91" t="s">
        <v>858</v>
      </c>
      <c r="D2" s="75"/>
      <c r="E2" s="75"/>
      <c r="F2" s="92">
        <f>BA2-BB2</f>
        <v>0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>
        <v>0.76388888888888884</v>
      </c>
      <c r="N2" s="76">
        <v>0.96736111111111112</v>
      </c>
      <c r="O2" s="92">
        <f>BP2-BQ2</f>
        <v>4.8833333333333346</v>
      </c>
      <c r="P2" s="75">
        <v>0.75416666666666665</v>
      </c>
      <c r="Q2" s="76">
        <v>0.97986111111111107</v>
      </c>
      <c r="R2" s="92">
        <f>BU2-BV2</f>
        <v>5.4166666666666661</v>
      </c>
      <c r="S2" s="75">
        <v>0.75</v>
      </c>
      <c r="T2" s="75">
        <v>0.97916666666666663</v>
      </c>
      <c r="U2" s="92">
        <f>BZ2-CA2</f>
        <v>4.9999999999999991</v>
      </c>
      <c r="V2" s="75">
        <v>0.79166666666666663</v>
      </c>
      <c r="W2" s="76">
        <v>0.97916666666666663</v>
      </c>
      <c r="X2" s="92">
        <f>CE2-CF2</f>
        <v>4.5</v>
      </c>
      <c r="Y2" s="92"/>
      <c r="Z2" s="92"/>
      <c r="AA2" s="92"/>
      <c r="AB2" s="96">
        <f>SUM(F2,I2,L2,O2,R2,U2,X2)</f>
        <v>19.8</v>
      </c>
      <c r="AC2" s="93"/>
      <c r="AD2" s="78">
        <v>1</v>
      </c>
      <c r="AE2" s="94">
        <f>SUMIF($BC$1:$CI$1,AE$1,$BC2:$CI2)+AD2</f>
        <v>8.5666666666666664</v>
      </c>
      <c r="AF2" s="78"/>
      <c r="AG2" s="94">
        <f>SUMIF($BC$1:$CI$1,AG$1,$BC2:$CI2)+AF2</f>
        <v>4.9999999999999991</v>
      </c>
      <c r="AH2" s="78"/>
      <c r="AI2" s="94">
        <f>SUMIF($BC$1:$CI$1,AI$1,$BC2:$CI2)+AH2</f>
        <v>4.5</v>
      </c>
      <c r="AJ2" s="77"/>
      <c r="AK2" s="94">
        <f>SUMIF($BC$1:$CI$1,AK$1,$BC2:$CI2)+AJ2</f>
        <v>0</v>
      </c>
      <c r="AL2" s="78"/>
      <c r="AM2" s="94">
        <f>SUMIF($BC$1:$CI$1,AM$1,$BC2:$CI2)+AL2</f>
        <v>2.7333333333333343</v>
      </c>
      <c r="AN2" s="77"/>
      <c r="AO2" s="94">
        <f>SUMIF($BC$1:$CI$1,AO$1,$BC2:$CI2)+AN2</f>
        <v>0</v>
      </c>
      <c r="AP2" s="95">
        <f>CK2</f>
        <v>4</v>
      </c>
      <c r="AQ2" s="77"/>
      <c r="AR2" s="77"/>
      <c r="AS2" s="77"/>
      <c r="AT2" s="63">
        <f>AE2+AG2+AI2+AK2+AM2+AO2+SUM(AQ2:AS2)</f>
        <v>20.8</v>
      </c>
      <c r="AU2" s="102" t="s">
        <v>1437</v>
      </c>
      <c r="AV2" s="5"/>
      <c r="AW2" s="5"/>
      <c r="AX2" s="5"/>
      <c r="AY2" s="5"/>
      <c r="AZ2" s="24">
        <f>VLOOKUP(C2,Employees!D:I,6,FALSE)</f>
        <v>10306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4.8833333333333346</v>
      </c>
      <c r="BQ2" s="5">
        <f>IF(BP2&gt;$AY$1,1,IF(BP2&gt;=$AX$1,0.5,0))</f>
        <v>0</v>
      </c>
      <c r="BR2" s="5">
        <f>BP2-BQ2-BS2-BT2</f>
        <v>3.666666666666667</v>
      </c>
      <c r="BS2" s="5">
        <f>IF(AND(N2&gt;$AV$1, M2&lt;$AW$1),(MIN(N2,$AW$1)-MAX(M2,$AV$1))*24,0)</f>
        <v>1.2166666666666677</v>
      </c>
      <c r="BT2" s="5">
        <f>IF(N2&gt;$AW$1,(N2-MAX(M2,$AW$1))*24,0)</f>
        <v>0</v>
      </c>
      <c r="BU2" s="5">
        <f t="shared" ref="BU2" si="4">IF(ISBLANK(P2),0,(Q2-P2)*24)</f>
        <v>5.4166666666666661</v>
      </c>
      <c r="BV2" s="5">
        <f>IF(BU2&gt;$AY$1,1,IF(BU2&gt;=$AX$1,0.5,0))</f>
        <v>0</v>
      </c>
      <c r="BW2" s="5">
        <f>BU2-BV2-BX2-BY2</f>
        <v>3.8999999999999995</v>
      </c>
      <c r="BX2" s="5">
        <f>IF(AND(Q2&gt;$AV$1, P2&lt;$AW$1),(MIN(Q2,$AW$1)-MAX(P2,$AV$1))*24,0)</f>
        <v>1.5166666666666666</v>
      </c>
      <c r="BY2" s="5">
        <f t="shared" ref="BY2" si="5">IF(Q2&gt;$AW$1,(Q2-MAX(P2,$AW$1))*24,0)</f>
        <v>0</v>
      </c>
      <c r="BZ2" s="5">
        <f t="shared" ref="BZ2" si="6">IF(ISBLANK(S2),0,(T2-S2)*24)</f>
        <v>5.4999999999999991</v>
      </c>
      <c r="CA2" s="5">
        <f>IF(BZ2&gt;$AY$1,1,IF(BZ2&gt;=$AX$1,0.5,0))</f>
        <v>0.5</v>
      </c>
      <c r="CB2" s="5">
        <f>BZ2-CA2-CC2-CD2</f>
        <v>3.4999999999999991</v>
      </c>
      <c r="CC2" s="5">
        <f>IF(AND(T2&gt;$AV$1, S2&lt;$AW$1),(MIN(T2,$AW$1)-MAX(S2,$AV$1))*24,0)</f>
        <v>1.5</v>
      </c>
      <c r="CD2" s="5">
        <f>IF(T2&gt;$AW$1,(T2-MAX(S2,$AW$1))*24,0)</f>
        <v>0</v>
      </c>
      <c r="CE2" s="5">
        <f t="shared" ref="CE2" si="7">IF(ISBLANK(V2),0,(W2-V2)*24)</f>
        <v>4.5</v>
      </c>
      <c r="CF2" s="5">
        <f>IF(CE2&gt;$AY$1,1,IF(CE2&gt;=$AX$1,0.5,0))</f>
        <v>0</v>
      </c>
      <c r="CG2" s="5">
        <f>CE2-CF2-CH2-CI2</f>
        <v>3</v>
      </c>
      <c r="CH2" s="5">
        <f>IF(AND(W2&gt;$AV$1, V2&lt;$AW$1),(MIN(W2,$AW$1)-MAX(V2,$AV$1))*24,0)</f>
        <v>1.5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10386</v>
      </c>
      <c r="B3" s="81" t="s">
        <v>900</v>
      </c>
      <c r="C3" s="91" t="s">
        <v>1064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4">
        <v>0.41666666666666669</v>
      </c>
      <c r="Q3" s="84">
        <v>0.79166666666666663</v>
      </c>
      <c r="R3" s="92">
        <f t="shared" ref="R3:R74" si="13">BU3-BV3</f>
        <v>8.4999999999999982</v>
      </c>
      <c r="S3" s="84">
        <v>0.54166666666666663</v>
      </c>
      <c r="T3" s="84">
        <v>0.75138888888888888</v>
      </c>
      <c r="U3" s="92">
        <f t="shared" ref="U3:U74" si="14">BZ3-CA3</f>
        <v>5.0333333333333341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13.533333333333331</v>
      </c>
      <c r="AC3" s="93"/>
      <c r="AD3" s="78"/>
      <c r="AE3" s="94">
        <f t="shared" ref="AE3:AE74" si="17">SUMIF($BC$1:$CI$1,AE$1,$BC3:$CI3)+AD3</f>
        <v>8.4999999999999982</v>
      </c>
      <c r="AF3" s="78"/>
      <c r="AG3" s="94">
        <f t="shared" ref="AG3:AG74" si="18">SUMIF($BC$1:$CI$1,AG$1,$BC3:$CI3)+AF3</f>
        <v>5.0333333333333341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2</v>
      </c>
      <c r="AQ3" s="77"/>
      <c r="AR3" s="77"/>
      <c r="AS3" s="77"/>
      <c r="AT3" s="63">
        <f t="shared" ref="AT3:AT74" si="24">AE3+AG3+AI3+AK3+AM3+AO3+SUM(AQ3:AS3)</f>
        <v>13.533333333333331</v>
      </c>
      <c r="AU3" s="78"/>
      <c r="AV3" s="5"/>
      <c r="AW3" s="5"/>
      <c r="AX3" s="5"/>
      <c r="AY3" s="5"/>
      <c r="AZ3" s="24">
        <f>VLOOKUP(C3,Employees!D:I,6,FALSE)</f>
        <v>10386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8.9999999999999982</v>
      </c>
      <c r="BV3" s="5">
        <f t="shared" ref="BV3:BV66" si="46">IF(BU3&gt;$AY$1,1,IF(BU3&gt;=$AX$1,0.5,0))</f>
        <v>0.5</v>
      </c>
      <c r="BW3" s="5">
        <f t="shared" ref="BW3:BW66" si="47">BU3-BV3-BX3-BY3</f>
        <v>8.4999999999999982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5.0333333333333341</v>
      </c>
      <c r="CA3" s="5">
        <f t="shared" ref="CA3:CA66" si="51">IF(BZ3&gt;$AY$1,1,IF(BZ3&gt;=$AX$1,0.5,0))</f>
        <v>0</v>
      </c>
      <c r="CB3" s="5">
        <f t="shared" ref="CB3:CB66" si="52">BZ3-CA3-CC3-CD3</f>
        <v>5.0333333333333341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2</v>
      </c>
    </row>
    <row r="4" spans="1:89" ht="47" customHeight="1">
      <c r="A4" s="74">
        <f t="shared" si="0"/>
        <v>10376</v>
      </c>
      <c r="B4" s="81" t="s">
        <v>900</v>
      </c>
      <c r="C4" s="85" t="s">
        <v>1035</v>
      </c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>
        <v>0.4201388888888889</v>
      </c>
      <c r="K4" s="75">
        <v>0.79236111111111107</v>
      </c>
      <c r="L4" s="92">
        <f t="shared" si="11"/>
        <v>8.4333333333333318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>
        <v>0.41666666666666669</v>
      </c>
      <c r="W4" s="75">
        <v>0.7895833333333333</v>
      </c>
      <c r="X4" s="92">
        <f t="shared" si="15"/>
        <v>8.4499999999999993</v>
      </c>
      <c r="Y4" s="92"/>
      <c r="Z4" s="92"/>
      <c r="AA4" s="92"/>
      <c r="AB4" s="96">
        <f t="shared" si="16"/>
        <v>16.883333333333333</v>
      </c>
      <c r="AC4" s="93"/>
      <c r="AD4" s="78"/>
      <c r="AE4" s="94">
        <f t="shared" si="17"/>
        <v>8.4333333333333318</v>
      </c>
      <c r="AF4" s="78"/>
      <c r="AG4" s="94">
        <f t="shared" si="18"/>
        <v>0</v>
      </c>
      <c r="AH4" s="78">
        <v>0.5</v>
      </c>
      <c r="AI4" s="94">
        <f t="shared" si="19"/>
        <v>8.9499999999999993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2</v>
      </c>
      <c r="AQ4" s="77"/>
      <c r="AR4" s="77"/>
      <c r="AS4" s="77"/>
      <c r="AT4" s="63">
        <f t="shared" si="24"/>
        <v>17.383333333333333</v>
      </c>
      <c r="AU4" s="102" t="s">
        <v>1438</v>
      </c>
      <c r="AV4" s="5"/>
      <c r="AW4" s="5"/>
      <c r="AX4" s="5"/>
      <c r="AY4" s="5"/>
      <c r="AZ4" s="24">
        <f>VLOOKUP(C4,Employees!D:I,6,FALSE)</f>
        <v>10376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8.9333333333333318</v>
      </c>
      <c r="BL4" s="5">
        <f t="shared" si="36"/>
        <v>0.5</v>
      </c>
      <c r="BM4" s="5">
        <f t="shared" si="37"/>
        <v>8.4333333333333318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8.9499999999999993</v>
      </c>
      <c r="CF4" s="5">
        <f t="shared" si="56"/>
        <v>0.5</v>
      </c>
      <c r="CG4" s="5">
        <f t="shared" si="57"/>
        <v>8.4499999999999993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210444</v>
      </c>
      <c r="B5" s="81" t="s">
        <v>900</v>
      </c>
      <c r="C5" s="85" t="s">
        <v>1213</v>
      </c>
      <c r="D5" s="76">
        <v>0.41666666666666669</v>
      </c>
      <c r="E5" s="75">
        <v>0.96388888888888891</v>
      </c>
      <c r="F5" s="92">
        <f t="shared" si="9"/>
        <v>12.133333333333335</v>
      </c>
      <c r="G5" s="75">
        <v>0.41666666666666669</v>
      </c>
      <c r="H5" s="76">
        <v>0.63541666666666663</v>
      </c>
      <c r="I5" s="92">
        <f t="shared" si="10"/>
        <v>5.2499999999999982</v>
      </c>
      <c r="J5" s="76"/>
      <c r="K5" s="76"/>
      <c r="L5" s="92">
        <f t="shared" si="11"/>
        <v>0</v>
      </c>
      <c r="M5" s="75">
        <v>0.41666666666666669</v>
      </c>
      <c r="N5" s="75">
        <v>0.76388888888888884</v>
      </c>
      <c r="O5" s="92">
        <f t="shared" si="12"/>
        <v>7.8333333333333321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25.216666666666665</v>
      </c>
      <c r="AC5" s="93"/>
      <c r="AD5" s="78"/>
      <c r="AE5" s="94">
        <f t="shared" si="17"/>
        <v>24.083333333333332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1.1333333333333346</v>
      </c>
      <c r="AN5" s="77"/>
      <c r="AO5" s="94">
        <f t="shared" si="22"/>
        <v>0</v>
      </c>
      <c r="AP5" s="95">
        <f t="shared" si="23"/>
        <v>3</v>
      </c>
      <c r="AQ5" s="77"/>
      <c r="AR5" s="77"/>
      <c r="AS5" s="77"/>
      <c r="AT5" s="63">
        <f t="shared" si="24"/>
        <v>25.216666666666669</v>
      </c>
      <c r="AU5" s="78"/>
      <c r="AV5" s="5"/>
      <c r="AW5" s="5"/>
      <c r="AX5" s="5"/>
      <c r="AY5" s="5"/>
      <c r="AZ5" s="24">
        <f>VLOOKUP(C5,Employees!D:I,6,FALSE)</f>
        <v>210444</v>
      </c>
      <c r="BA5" s="5">
        <f t="shared" si="25"/>
        <v>13.133333333333335</v>
      </c>
      <c r="BB5" s="5">
        <f t="shared" si="26"/>
        <v>1</v>
      </c>
      <c r="BC5" s="5">
        <f t="shared" si="27"/>
        <v>11</v>
      </c>
      <c r="BD5" s="5">
        <f t="shared" si="28"/>
        <v>1.1333333333333346</v>
      </c>
      <c r="BE5" s="5">
        <f t="shared" si="29"/>
        <v>0</v>
      </c>
      <c r="BF5" s="5">
        <f t="shared" si="30"/>
        <v>5.2499999999999982</v>
      </c>
      <c r="BG5" s="5">
        <f t="shared" si="31"/>
        <v>0</v>
      </c>
      <c r="BH5" s="5">
        <f t="shared" si="32"/>
        <v>5.2499999999999982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8.3333333333333321</v>
      </c>
      <c r="BQ5" s="5">
        <f t="shared" si="41"/>
        <v>0.5</v>
      </c>
      <c r="BR5" s="5">
        <f t="shared" si="42"/>
        <v>7.8333333333333321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210432</v>
      </c>
      <c r="B6" s="81" t="s">
        <v>900</v>
      </c>
      <c r="C6" s="85" t="s">
        <v>1184</v>
      </c>
      <c r="D6" s="76"/>
      <c r="E6" s="75"/>
      <c r="F6" s="92">
        <f t="shared" si="9"/>
        <v>0</v>
      </c>
      <c r="G6" s="75">
        <v>0.63541666666666663</v>
      </c>
      <c r="H6" s="76">
        <v>0.98958333333333337</v>
      </c>
      <c r="I6" s="92">
        <f t="shared" si="10"/>
        <v>8.0000000000000018</v>
      </c>
      <c r="J6" s="76">
        <v>0.76041666666666663</v>
      </c>
      <c r="K6" s="76">
        <v>0.9770833333333333</v>
      </c>
      <c r="L6" s="92">
        <f t="shared" si="11"/>
        <v>5.2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>
        <v>0.42499999999999999</v>
      </c>
      <c r="T6" s="75">
        <v>0.625</v>
      </c>
      <c r="U6" s="92">
        <f t="shared" si="14"/>
        <v>4.8000000000000007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18.000000000000004</v>
      </c>
      <c r="AC6" s="93"/>
      <c r="AD6" s="78"/>
      <c r="AE6" s="94">
        <f t="shared" si="17"/>
        <v>10</v>
      </c>
      <c r="AF6" s="78"/>
      <c r="AG6" s="94">
        <f t="shared" si="18"/>
        <v>4.8000000000000007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3.200000000000002</v>
      </c>
      <c r="AN6" s="77"/>
      <c r="AO6" s="94">
        <f t="shared" si="22"/>
        <v>0</v>
      </c>
      <c r="AP6" s="95">
        <f t="shared" si="23"/>
        <v>3</v>
      </c>
      <c r="AQ6" s="77"/>
      <c r="AR6" s="77"/>
      <c r="AS6" s="77"/>
      <c r="AT6" s="63">
        <f t="shared" si="24"/>
        <v>18.000000000000004</v>
      </c>
      <c r="AU6" s="78"/>
      <c r="AV6" s="5"/>
      <c r="AW6" s="5"/>
      <c r="AX6" s="5"/>
      <c r="AY6" s="5"/>
      <c r="AZ6" s="24">
        <f>VLOOKUP(C6,Employees!D:I,6,FALSE)</f>
        <v>210432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8.5000000000000018</v>
      </c>
      <c r="BG6" s="5">
        <f t="shared" si="31"/>
        <v>0.5</v>
      </c>
      <c r="BH6" s="5">
        <f t="shared" si="32"/>
        <v>6.25</v>
      </c>
      <c r="BI6" s="5">
        <f t="shared" si="33"/>
        <v>1.7500000000000018</v>
      </c>
      <c r="BJ6" s="5">
        <f t="shared" si="34"/>
        <v>0</v>
      </c>
      <c r="BK6" s="5">
        <f t="shared" si="35"/>
        <v>5.2</v>
      </c>
      <c r="BL6" s="5">
        <f t="shared" si="36"/>
        <v>0</v>
      </c>
      <c r="BM6" s="5">
        <f t="shared" si="37"/>
        <v>3.75</v>
      </c>
      <c r="BN6" s="5">
        <f t="shared" si="38"/>
        <v>1.4500000000000002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4.8000000000000007</v>
      </c>
      <c r="CA6" s="5">
        <f t="shared" si="51"/>
        <v>0</v>
      </c>
      <c r="CB6" s="5">
        <f t="shared" si="52"/>
        <v>4.8000000000000007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210446</v>
      </c>
      <c r="B7" s="81" t="s">
        <v>900</v>
      </c>
      <c r="C7" s="85" t="s">
        <v>1217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>
        <f>VLOOKUP(C7,Employees!D:I,6,FALSE)</f>
        <v>210446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2" priority="732" operator="equal">
      <formula>"Pub"</formula>
    </cfRule>
  </conditionalFormatting>
  <conditionalFormatting sqref="F2:F100 I2:I100 L2:L100 O2:O100 R2:R100 U2:U100 X2:AB100 AT2:AT100">
    <cfRule type="cellIs" dxfId="11" priority="733" operator="lessThan">
      <formula>0</formula>
    </cfRule>
    <cfRule type="cellIs" dxfId="10" priority="734" operator="between">
      <formula>3</formula>
      <formula>0.01</formula>
    </cfRule>
    <cfRule type="cellIs" dxfId="9" priority="735" operator="lessThan">
      <formula>SUMIF($C:$C,$C2,F:F)</formula>
    </cfRule>
  </conditionalFormatting>
  <conditionalFormatting sqref="AD2:AD100">
    <cfRule type="notContainsBlanks" dxfId="8" priority="3">
      <formula>LEN(TRIM(AD2))&gt;0</formula>
    </cfRule>
  </conditionalFormatting>
  <conditionalFormatting sqref="AF2:AF100">
    <cfRule type="notContainsBlanks" dxfId="7" priority="2">
      <formula>LEN(TRIM(AF2))&gt;0</formula>
    </cfRule>
  </conditionalFormatting>
  <conditionalFormatting sqref="AH2:AH100">
    <cfRule type="notContainsBlanks" dxfId="6" priority="1">
      <formula>LEN(TRIM(AH2))&gt;0</formula>
    </cfRule>
  </conditionalFormatting>
  <conditionalFormatting sqref="AL2:AL100">
    <cfRule type="notContainsBlanks" dxfId="5" priority="260">
      <formula>LEN(TRIM(AL2))&gt;0</formula>
    </cfRule>
  </conditionalFormatting>
  <conditionalFormatting sqref="AL21:AL29 AL61:AL63 AL75:AL100 AJ2:AJ100 AN2:AN100 AQ2:AS100">
    <cfRule type="notContainsBlanks" dxfId="4" priority="736">
      <formula>LEN(TRIM(AJ2))&gt;0</formula>
    </cfRule>
  </conditionalFormatting>
  <conditionalFormatting sqref="AT1">
    <cfRule type="cellIs" dxfId="3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I5" sqref="I5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10306</v>
      </c>
      <c r="B2" s="28">
        <f ca="1">IF(A2=0,"",_xlfn.NUMBERVALUE(A2))</f>
        <v>10306</v>
      </c>
      <c r="C2" s="28" t="str">
        <f ca="1">IF($A2=0,"",VLOOKUP($B2,Employees!$A:$G,2,FALSE))</f>
        <v>Thuy An</v>
      </c>
      <c r="D2" s="28" t="str">
        <f ca="1">IF($A2=0,"",VLOOKUP($B2,Employees!$A:$G,3,FALSE))</f>
        <v>Pham</v>
      </c>
      <c r="E2" s="26">
        <f ca="1">IF($A2=0,"",VLOOKUP($B2,Employees!$A:$G,5,FALSE))</f>
        <v>37927</v>
      </c>
      <c r="F2" s="13">
        <f ca="1">IF($E2="","",ROUNDDOWN(YEARFRAC($E2, 'Week 1 Roster'!$D$1-1, 1), 0))</f>
        <v>21</v>
      </c>
      <c r="G2" s="13">
        <f ca="1">IF($E2="","",ROUNDDOWN(YEARFRAC($E2, 'Week 1 Roster'!$D$1+14, 1), 0))</f>
        <v>22</v>
      </c>
      <c r="H2" s="13" t="b">
        <f ca="1">IF($E2="","",IF(AND(F2&lt;21,F2&lt;&gt;G2),TRUE,FALSE))</f>
        <v>0</v>
      </c>
      <c r="I2" s="13">
        <f ca="1">IF($A2=0,"",VLOOKUP($B2,Employees!$A:$G,6,FALSE))</f>
        <v>48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The Star</v>
      </c>
      <c r="L2" s="13" t="str">
        <f ca="1">IF($A2=0,"",VLOOKUP(K2,Stores!A:B,2,0))</f>
        <v>Winlada</v>
      </c>
      <c r="M2" s="14">
        <f t="shared" ref="M2" ca="1" si="0">Y2+AK2</f>
        <v>20.949999999999996</v>
      </c>
      <c r="N2" s="14">
        <f t="shared" ref="N2" ca="1" si="1">Z2+AL2</f>
        <v>4.9999999999999991</v>
      </c>
      <c r="O2" s="14">
        <f t="shared" ref="O2" ca="1" si="2">AA2+AM2</f>
        <v>10.166666666666668</v>
      </c>
      <c r="P2" s="14">
        <f t="shared" ref="P2" ca="1" si="3">AB2+AN2</f>
        <v>0</v>
      </c>
      <c r="Q2" s="14">
        <f t="shared" ref="Q2" ca="1" si="4">AC2+AO2</f>
        <v>6.650000000000003</v>
      </c>
      <c r="R2" s="14">
        <f t="shared" ref="R2:S2" ca="1" si="5">AD2+AP2</f>
        <v>0</v>
      </c>
      <c r="S2" s="28">
        <f t="shared" ca="1" si="5"/>
        <v>8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42.766666666666666</v>
      </c>
      <c r="Y2" s="17">
        <f ca="1">IF($A2=0,0,SUMIF('Week 1 Roster'!$AZ:$AZ,$B2,'Week 1 Roster'!$AE:$AE))</f>
        <v>12.383333333333329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5.6666666666666679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3.9166666666666687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21.966666666666665</v>
      </c>
      <c r="AK2" s="17">
        <f ca="1">IF($A2=0,0,SUMIF('Week 2 Roster'!$AZ:$AZ,$B2,'Week 2 Roster'!$AE:$AE))</f>
        <v>8.5666666666666664</v>
      </c>
      <c r="AL2" s="17">
        <f ca="1">IF($A2=0,0,SUMIF('Week 2 Roster'!$AZ:$AZ,$B2,'Week 2 Roster'!$AG:$AG))</f>
        <v>4.9999999999999991</v>
      </c>
      <c r="AM2" s="17">
        <f ca="1">IF($A2=0,0,SUMIF('Week 2 Roster'!$AZ:$AZ,$B2,'Week 2 Roster'!$AI:$AI))</f>
        <v>4.5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2.7333333333333343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20.8</v>
      </c>
      <c r="AV2" s="17"/>
      <c r="AW2" s="25">
        <f>'Week 1 Roster'!A2</f>
        <v>10306</v>
      </c>
      <c r="AX2" s="25">
        <f>'Week 2 Roster'!A2</f>
        <v>10306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10386</v>
      </c>
      <c r="B3" s="28">
        <f t="shared" ref="B3:B66" ca="1" si="9">IF(A3=0,"",_xlfn.NUMBERVALUE(A3))</f>
        <v>10386</v>
      </c>
      <c r="C3" s="28" t="str">
        <f ca="1">IF($A3=0,"",VLOOKUP($B3,Employees!$A:$G,2,FALSE))</f>
        <v>Thesya</v>
      </c>
      <c r="D3" s="28" t="str">
        <f ca="1">IF($A3=0,"",VLOOKUP($B3,Employees!$A:$G,3,FALSE))</f>
        <v>Handoko</v>
      </c>
      <c r="E3" s="26">
        <f ca="1">IF($A3=0,"",VLOOKUP($B3,Employees!$A:$G,5,FALSE))</f>
        <v>35963</v>
      </c>
      <c r="F3" s="13">
        <f ca="1">IF($E3="","",ROUNDDOWN(YEARFRAC($E3, 'Week 1 Roster'!$D$1-1, 1), 0))</f>
        <v>27</v>
      </c>
      <c r="G3" s="13">
        <f ca="1">IF($E3="","",ROUNDDOWN(YEARFRAC($E3, 'Week 1 Roster'!$D$1+14, 1), 0))</f>
        <v>27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The Star</v>
      </c>
      <c r="L3" s="13" t="str">
        <f ca="1">IF($A3=0,"",VLOOKUP(K3,Stores!A:B,2,0))</f>
        <v>Winlada</v>
      </c>
      <c r="M3" s="14">
        <f t="shared" ref="M3:M66" ca="1" si="11">Y3+AK3</f>
        <v>16.999999999999996</v>
      </c>
      <c r="N3" s="14">
        <f t="shared" ref="N3:N66" ca="1" si="12">Z3+AL3</f>
        <v>13.55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4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30.549999999999997</v>
      </c>
      <c r="Y3" s="17">
        <f ca="1">IF($A3=0,0,SUMIF('Week 1 Roster'!$AZ:$AZ,$B3,'Week 1 Roster'!$AE:$AE))</f>
        <v>8.4999999999999982</v>
      </c>
      <c r="Z3" s="17">
        <f ca="1">IF($A3=0,0,SUMIF('Week 1 Roster'!$AZ:$AZ,$B3,'Week 1 Roster'!$AG:$AG))</f>
        <v>8.5166666666666657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17.016666666666666</v>
      </c>
      <c r="AK3" s="17">
        <f ca="1">IF($A3=0,0,SUMIF('Week 2 Roster'!$AZ:$AZ,$B3,'Week 2 Roster'!$AE:$AE))</f>
        <v>8.4999999999999982</v>
      </c>
      <c r="AL3" s="17">
        <f ca="1">IF($A3=0,0,SUMIF('Week 2 Roster'!$AZ:$AZ,$B3,'Week 2 Roster'!$AG:$AG))</f>
        <v>5.0333333333333341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2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13.533333333333331</v>
      </c>
      <c r="AV3" s="17"/>
      <c r="AW3" s="25">
        <f>'Week 1 Roster'!A3</f>
        <v>10386</v>
      </c>
      <c r="AX3" s="25">
        <f>'Week 2 Roster'!A3</f>
        <v>10386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10376</v>
      </c>
      <c r="B4" s="28">
        <f t="shared" ca="1" si="9"/>
        <v>10376</v>
      </c>
      <c r="C4" s="28" t="str">
        <f ca="1">IF($A4=0,"",VLOOKUP($B4,Employees!$A:$G,2,FALSE))</f>
        <v>Cong Hieu</v>
      </c>
      <c r="D4" s="28" t="str">
        <f ca="1">IF($A4=0,"",VLOOKUP($B4,Employees!$A:$G,3,FALSE))</f>
        <v>Le</v>
      </c>
      <c r="E4" s="26">
        <f ca="1">IF($A4=0,"",VLOOKUP($B4,Employees!$A:$G,5,FALSE))</f>
        <v>38021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The Star</v>
      </c>
      <c r="L4" s="13" t="str">
        <f ca="1">IF($A4=0,"",VLOOKUP(K4,Stores!A:B,2,0))</f>
        <v>Winlada</v>
      </c>
      <c r="M4" s="14">
        <f t="shared" ca="1" si="11"/>
        <v>18.916666666666664</v>
      </c>
      <c r="N4" s="14">
        <f t="shared" ca="1" si="12"/>
        <v>5.2166666666666668</v>
      </c>
      <c r="O4" s="14">
        <f t="shared" ca="1" si="13"/>
        <v>14.333333333333332</v>
      </c>
      <c r="P4" s="14">
        <f t="shared" ca="1" si="14"/>
        <v>0</v>
      </c>
      <c r="Q4" s="14">
        <f t="shared" ca="1" si="15"/>
        <v>1.3500000000000005</v>
      </c>
      <c r="R4" s="14">
        <f t="shared" ca="1" si="16"/>
        <v>0</v>
      </c>
      <c r="S4" s="28">
        <f t="shared" ca="1" si="17"/>
        <v>6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39.81666666666667</v>
      </c>
      <c r="Y4" s="17">
        <f ca="1">IF($A4=0,0,SUMIF('Week 1 Roster'!$AZ:$AZ,$B4,'Week 1 Roster'!$AE:$AE))</f>
        <v>10.483333333333331</v>
      </c>
      <c r="Z4" s="17">
        <f ca="1">IF($A4=0,0,SUMIF('Week 1 Roster'!$AZ:$AZ,$B4,'Week 1 Roster'!$AG:$AG))</f>
        <v>5.2166666666666668</v>
      </c>
      <c r="AA4" s="17">
        <f ca="1">IF($A4=0,0,SUMIF('Week 1 Roster'!$AZ:$AZ,$B4,'Week 1 Roster'!$AI:$AI))</f>
        <v>5.3833333333333329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1.3500000000000005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4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22.43333333333333</v>
      </c>
      <c r="AK4" s="17">
        <f ca="1">IF($A4=0,0,SUMIF('Week 2 Roster'!$AZ:$AZ,$B4,'Week 2 Roster'!$AE:$AE))</f>
        <v>8.4333333333333318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8.9499999999999993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17.383333333333333</v>
      </c>
      <c r="AV4" s="17"/>
      <c r="AW4" s="25">
        <f>'Week 1 Roster'!A4</f>
        <v>10376</v>
      </c>
      <c r="AX4" s="25">
        <f>'Week 2 Roster'!A4</f>
        <v>10376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210444</v>
      </c>
      <c r="B5" s="28">
        <f t="shared" ca="1" si="9"/>
        <v>210444</v>
      </c>
      <c r="C5" s="28" t="str">
        <f ca="1">IF($A5=0,"",VLOOKUP($B5,Employees!$A:$G,2,FALSE))</f>
        <v>Xiangbo</v>
      </c>
      <c r="D5" s="28" t="str">
        <f ca="1">IF($A5=0,"",VLOOKUP($B5,Employees!$A:$G,3,FALSE))</f>
        <v>Zhu</v>
      </c>
      <c r="E5" s="26">
        <f ca="1">IF($A5=0,"",VLOOKUP($B5,Employees!$A:$G,5,FALSE))</f>
        <v>36614</v>
      </c>
      <c r="F5" s="13">
        <f ca="1">IF($E5="","",ROUNDDOWN(YEARFRAC($E5, 'Week 1 Roster'!$D$1-1, 1), 0))</f>
        <v>25</v>
      </c>
      <c r="G5" s="13">
        <f ca="1">IF($E5="","",ROUNDDOWN(YEARFRAC($E5, 'Week 1 Roster'!$D$1+14, 1), 0))</f>
        <v>25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The Star</v>
      </c>
      <c r="L5" s="13" t="str">
        <f ca="1">IF($A5=0,"",VLOOKUP(K5,Stores!A:B,2,0))</f>
        <v>Winlada</v>
      </c>
      <c r="M5" s="14">
        <f t="shared" ca="1" si="11"/>
        <v>45.099999999999994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2.3000000000000025</v>
      </c>
      <c r="R5" s="14">
        <f t="shared" ca="1" si="16"/>
        <v>0</v>
      </c>
      <c r="S5" s="28">
        <f t="shared" ca="1" si="17"/>
        <v>6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47.4</v>
      </c>
      <c r="Y5" s="17">
        <f ca="1">IF($A5=0,0,SUMIF('Week 1 Roster'!$AZ:$AZ,$B5,'Week 1 Roster'!$AE:$AE))</f>
        <v>21.016666666666666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1.1666666666666679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3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22.183333333333334</v>
      </c>
      <c r="AK5" s="17">
        <f ca="1">IF($A5=0,0,SUMIF('Week 2 Roster'!$AZ:$AZ,$B5,'Week 2 Roster'!$AE:$AE))</f>
        <v>24.083333333333332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1.1333333333333346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25.216666666666669</v>
      </c>
      <c r="AV5" s="17"/>
      <c r="AW5" s="25">
        <f>'Week 1 Roster'!A5</f>
        <v>210444</v>
      </c>
      <c r="AX5" s="25">
        <f>'Week 2 Roster'!A5</f>
        <v>210444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210432</v>
      </c>
      <c r="B6" s="28">
        <f t="shared" ca="1" si="9"/>
        <v>210432</v>
      </c>
      <c r="C6" s="28" t="str">
        <f ca="1">IF($A6=0,"",VLOOKUP($B6,Employees!$A:$G,2,FALSE))</f>
        <v>Mya</v>
      </c>
      <c r="D6" s="28" t="str">
        <f ca="1">IF($A6=0,"",VLOOKUP($B6,Employees!$A:$G,3,FALSE))</f>
        <v>Hmue</v>
      </c>
      <c r="E6" s="26">
        <f ca="1">IF($A6=0,"",VLOOKUP($B6,Employees!$A:$G,5,FALSE))</f>
        <v>38106</v>
      </c>
      <c r="F6" s="13">
        <f ca="1">IF($E6="","",ROUNDDOWN(YEARFRAC($E6, 'Week 1 Roster'!$D$1-1, 1), 0))</f>
        <v>21</v>
      </c>
      <c r="G6" s="13">
        <f ca="1">IF($E6="","",ROUNDDOWN(YEARFRAC($E6, 'Week 1 Roster'!$D$1+14, 1), 0))</f>
        <v>21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The Star</v>
      </c>
      <c r="L6" s="13" t="str">
        <f ca="1">IF($A6=0,"",VLOOKUP(K6,Stores!A:B,2,0))</f>
        <v>Winlada</v>
      </c>
      <c r="M6" s="14">
        <f t="shared" ca="1" si="11"/>
        <v>19.329999999999998</v>
      </c>
      <c r="N6" s="14">
        <f t="shared" ca="1" si="12"/>
        <v>4.8000000000000007</v>
      </c>
      <c r="O6" s="14">
        <f t="shared" ca="1" si="13"/>
        <v>5</v>
      </c>
      <c r="P6" s="14">
        <f t="shared" ca="1" si="14"/>
        <v>0</v>
      </c>
      <c r="Q6" s="14">
        <f t="shared" ca="1" si="15"/>
        <v>3.200000000000002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32.33</v>
      </c>
      <c r="Y6" s="17">
        <f ca="1">IF($A6=0,0,SUMIF('Week 1 Roster'!$AZ:$AZ,$B6,'Week 1 Roster'!$AE:$AE))</f>
        <v>9.33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5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14.33</v>
      </c>
      <c r="AK6" s="17">
        <f ca="1">IF($A6=0,0,SUMIF('Week 2 Roster'!$AZ:$AZ,$B6,'Week 2 Roster'!$AE:$AE))</f>
        <v>10</v>
      </c>
      <c r="AL6" s="17">
        <f ca="1">IF($A6=0,0,SUMIF('Week 2 Roster'!$AZ:$AZ,$B6,'Week 2 Roster'!$AG:$AG))</f>
        <v>4.8000000000000007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3.200000000000002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18.000000000000004</v>
      </c>
      <c r="AV6" s="17"/>
      <c r="AW6" s="25">
        <f>'Week 1 Roster'!A6</f>
        <v>210432</v>
      </c>
      <c r="AX6" s="25">
        <f>'Week 2 Roster'!A6</f>
        <v>210432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210446</v>
      </c>
      <c r="B7" s="28">
        <f t="shared" ca="1" si="9"/>
        <v>210446</v>
      </c>
      <c r="C7" s="28" t="str">
        <f ca="1">IF($A7=0,"",VLOOKUP($B7,Employees!$A:$G,2,FALSE))</f>
        <v>Samuel</v>
      </c>
      <c r="D7" s="28" t="str">
        <f ca="1">IF($A7=0,"",VLOOKUP($B7,Employees!$A:$G,3,FALSE))</f>
        <v>Bach</v>
      </c>
      <c r="E7" s="26">
        <f ca="1">IF($A7=0,"",VLOOKUP($B7,Employees!$A:$G,5,FALSE))</f>
        <v>40016</v>
      </c>
      <c r="F7" s="13">
        <f ca="1">IF($E7="","",ROUNDDOWN(YEARFRAC($E7, 'Week 1 Roster'!$D$1-1, 1), 0))</f>
        <v>16</v>
      </c>
      <c r="G7" s="13">
        <f ca="1">IF($E7="","",ROUNDDOWN(YEARFRAC($E7, 'Week 1 Roster'!$D$1+14, 1), 0))</f>
        <v>16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The Star</v>
      </c>
      <c r="L7" s="13" t="str">
        <f ca="1">IF($A7=0,"",VLOOKUP(K7,Stores!A:B,2,0))</f>
        <v>Winlada</v>
      </c>
      <c r="M7" s="14">
        <f t="shared" ca="1" si="11"/>
        <v>0</v>
      </c>
      <c r="N7" s="14">
        <f t="shared" ca="1" si="12"/>
        <v>4.9000000000000012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1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4.9000000000000012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4.9000000000000012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4.9000000000000012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210446</v>
      </c>
      <c r="AX7" s="25">
        <f>'Week 2 Roster'!A7</f>
        <v>210446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2" priority="1" operator="equal">
      <formula>FALSE</formula>
    </cfRule>
  </conditionalFormatting>
  <conditionalFormatting sqref="M1:AU1048576">
    <cfRule type="cellIs" dxfId="1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6" zoomScale="186" zoomScaleNormal="186" workbookViewId="0">
      <selection activeCell="A519" sqref="A519:G519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210188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210519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210519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2025-11-10T00:52:14Z</dcterms:modified>
</cp:coreProperties>
</file>