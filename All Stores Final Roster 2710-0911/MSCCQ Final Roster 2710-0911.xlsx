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82B5C11D-7FEA-A942-A5F9-12F6D98BAFB9}" xr6:coauthVersionLast="47" xr6:coauthVersionMax="47" xr10:uidLastSave="{00000000-0000-0000-0000-000000000000}"/>
  <bookViews>
    <workbookView xWindow="600" yWindow="940" windowWidth="28800" windowHeight="1664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R5" i="18" l="1"/>
  <c r="O4" i="18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O6" i="2" l="1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AB4" i="2" l="1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U2" i="12" l="1"/>
  <c r="T2" i="12"/>
  <c r="A3" i="12"/>
  <c r="K3" i="12" s="1"/>
  <c r="L3" i="12" s="1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B3" i="12" l="1"/>
  <c r="C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AG3" i="12" l="1"/>
  <c r="Z3" i="12"/>
  <c r="AD3" i="12"/>
  <c r="AS3" i="12"/>
  <c r="AF3" i="12"/>
  <c r="AQ3" i="12"/>
  <c r="D3" i="12"/>
  <c r="J3" i="12"/>
  <c r="AT3" i="12"/>
  <c r="AE3" i="12"/>
  <c r="AR3" i="12"/>
  <c r="E3" i="12"/>
  <c r="G3" i="12" s="1"/>
  <c r="I3" i="12"/>
  <c r="AC3" i="12"/>
  <c r="AA3" i="12"/>
  <c r="AH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U3" i="12" l="1"/>
  <c r="T3" i="12"/>
  <c r="S3" i="12"/>
  <c r="V3" i="12"/>
  <c r="F3" i="12"/>
  <c r="H3" i="12" s="1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H8" i="12"/>
  <c r="J8" i="12"/>
  <c r="AC8" i="12"/>
  <c r="AQ8" i="12"/>
  <c r="A9" i="12" a="1"/>
  <c r="AE8" i="12" l="1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V8" i="12" s="1"/>
  <c r="Z8" i="12"/>
  <c r="A9" i="12"/>
  <c r="B9" i="12" s="1"/>
  <c r="N8" i="12" l="1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A10" i="12"/>
  <c r="K10" i="12" s="1"/>
  <c r="L10" i="12" s="1"/>
  <c r="Q9" i="12"/>
  <c r="N9" i="12"/>
  <c r="H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K10" i="12"/>
  <c r="AO10" i="12"/>
  <c r="AE10" i="12"/>
  <c r="AA10" i="12"/>
  <c r="AH10" i="12"/>
  <c r="Z10" i="12"/>
  <c r="E10" i="12"/>
  <c r="AN10" i="12"/>
  <c r="AC10" i="12"/>
  <c r="AS10" i="12"/>
  <c r="AQ10" i="12"/>
  <c r="AR10" i="12"/>
  <c r="AF10" i="12"/>
  <c r="AD10" i="12"/>
  <c r="AG10" i="12"/>
  <c r="D10" i="12"/>
  <c r="AL10" i="12"/>
  <c r="C10" i="12"/>
  <c r="AT10" i="12"/>
  <c r="J10" i="12"/>
  <c r="Y10" i="12"/>
  <c r="I10" i="12"/>
  <c r="AB10" i="12"/>
  <c r="AM10" i="12"/>
  <c r="R10" i="12" l="1"/>
  <c r="M10" i="12"/>
  <c r="Q10" i="12"/>
  <c r="T10" i="12"/>
  <c r="V10" i="12"/>
  <c r="S10" i="12"/>
  <c r="O10" i="12"/>
  <c r="AI10" i="12"/>
  <c r="U10" i="12"/>
  <c r="P10" i="12"/>
  <c r="N10" i="12"/>
  <c r="F10" i="12"/>
  <c r="AU10" i="12"/>
  <c r="G10" i="12"/>
  <c r="W10" i="12" l="1"/>
  <c r="H10" i="12"/>
  <c r="A11" i="12" a="1"/>
  <c r="A11" i="12" l="1"/>
  <c r="K11" i="12" l="1"/>
  <c r="D11" i="12"/>
  <c r="I11" i="12"/>
  <c r="AQ11" i="12"/>
  <c r="AL11" i="12"/>
  <c r="B11" i="12"/>
  <c r="AC11" i="12"/>
  <c r="AK11" i="12"/>
  <c r="L11" i="12"/>
  <c r="AD11" i="12"/>
  <c r="AR11" i="12"/>
  <c r="AS11" i="12"/>
  <c r="AF11" i="12"/>
  <c r="AO11" i="12"/>
  <c r="Y11" i="12"/>
  <c r="AG11" i="12"/>
  <c r="AM11" i="12"/>
  <c r="C11" i="12"/>
  <c r="AP11" i="12"/>
  <c r="AB11" i="12"/>
  <c r="AE11" i="12"/>
  <c r="AH11" i="12"/>
  <c r="J11" i="12"/>
  <c r="AA11" i="12"/>
  <c r="AN11" i="12"/>
  <c r="Z11" i="12"/>
  <c r="E11" i="12"/>
  <c r="AT11" i="12"/>
  <c r="P11" i="12" l="1"/>
  <c r="S11" i="12"/>
  <c r="O11" i="12"/>
  <c r="U11" i="12"/>
  <c r="T11" i="12"/>
  <c r="Q11" i="12"/>
  <c r="AU11" i="12"/>
  <c r="AI11" i="12"/>
  <c r="M11" i="12"/>
  <c r="V11" i="12"/>
  <c r="F11" i="12"/>
  <c r="H11" i="12"/>
  <c r="G11" i="12"/>
  <c r="N11" i="12"/>
  <c r="R11" i="12"/>
  <c r="A12" i="12" a="1"/>
  <c r="A12" i="12" l="1"/>
  <c r="W11" i="12"/>
  <c r="L12" i="12" l="1"/>
  <c r="C12" i="12"/>
  <c r="I12" i="12"/>
  <c r="AL12" i="12"/>
  <c r="E12" i="12"/>
  <c r="AF12" i="12"/>
  <c r="B12" i="12"/>
  <c r="AE12" i="12"/>
  <c r="AA12" i="12"/>
  <c r="AQ12" i="12"/>
  <c r="D12" i="12"/>
  <c r="J12" i="12"/>
  <c r="AK12" i="12"/>
  <c r="AS12" i="12"/>
  <c r="AT12" i="12"/>
  <c r="AO12" i="12"/>
  <c r="AN12" i="12"/>
  <c r="AH12" i="12"/>
  <c r="AB12" i="12"/>
  <c r="K12" i="12"/>
  <c r="AR12" i="12"/>
  <c r="AC12" i="12"/>
  <c r="Y12" i="12"/>
  <c r="Z12" i="12"/>
  <c r="AM12" i="12"/>
  <c r="AG12" i="12"/>
  <c r="AP12" i="12"/>
  <c r="AD12" i="12"/>
  <c r="R12" i="12" l="1"/>
  <c r="P12" i="12"/>
  <c r="N12" i="12"/>
  <c r="S12" i="12"/>
  <c r="T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E13" i="12"/>
  <c r="AG13" i="12"/>
  <c r="J13" i="12"/>
  <c r="Z13" i="12"/>
  <c r="AQ13" i="12"/>
  <c r="AS13" i="12"/>
  <c r="AK13" i="12"/>
  <c r="AC13" i="12"/>
  <c r="P13" i="12" l="1"/>
  <c r="N13" i="12"/>
  <c r="S13" i="12"/>
  <c r="T13" i="12"/>
  <c r="U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P14" i="12" l="1"/>
  <c r="S14" i="12"/>
  <c r="R14" i="12"/>
  <c r="N14" i="12"/>
  <c r="V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V15" i="12" l="1"/>
  <c r="O15" i="12"/>
  <c r="N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P16" i="12" l="1"/>
  <c r="R16" i="12"/>
  <c r="T16" i="12"/>
  <c r="V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V17" i="12" l="1"/>
  <c r="S17" i="12"/>
  <c r="T17" i="12"/>
  <c r="N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AN18" i="12"/>
  <c r="AK18" i="12"/>
  <c r="AS18" i="12"/>
  <c r="D18" i="12"/>
  <c r="AD18" i="12"/>
  <c r="R18" i="12" s="1"/>
  <c r="AA18" i="12"/>
  <c r="J18" i="12"/>
  <c r="AB18" i="12"/>
  <c r="AM18" i="12"/>
  <c r="AT18" i="12"/>
  <c r="AH18" i="12"/>
  <c r="L18" i="12"/>
  <c r="A19" i="12" a="1"/>
  <c r="N18" i="12" l="1"/>
  <c r="T18" i="12"/>
  <c r="V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T19" i="12" l="1"/>
  <c r="R19" i="12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R20" i="12" l="1"/>
  <c r="P20" i="12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P21" i="12" l="1"/>
  <c r="O21" i="12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S23" i="12" l="1"/>
  <c r="O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N25" i="12" l="1"/>
  <c r="T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U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R27" i="12"/>
  <c r="U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U28" i="12" l="1"/>
  <c r="V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R29" i="12" l="1"/>
  <c r="O29" i="12"/>
  <c r="P29" i="12"/>
  <c r="Q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N30" i="12" l="1"/>
  <c r="O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O31" i="12"/>
  <c r="U31" i="12"/>
  <c r="S31" i="12"/>
  <c r="V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U32" i="12"/>
  <c r="N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N33" i="12" l="1"/>
  <c r="V33" i="12"/>
  <c r="P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N35" i="12"/>
  <c r="P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V36" i="12" l="1"/>
  <c r="R36" i="12"/>
  <c r="T36" i="12"/>
  <c r="Q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T37" i="12" l="1"/>
  <c r="S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O40" i="12" l="1"/>
  <c r="U40" i="12"/>
  <c r="P40" i="12"/>
  <c r="Q40" i="12"/>
  <c r="V40" i="12"/>
  <c r="N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V41" i="12" s="1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N41" i="12" l="1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T43" i="12" l="1"/>
  <c r="S43" i="12"/>
  <c r="U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P45" i="12"/>
  <c r="T45" i="12"/>
  <c r="V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T46" i="12" l="1"/>
  <c r="P46" i="12"/>
  <c r="U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Q48" i="12" s="1"/>
  <c r="A49" i="12" a="1"/>
  <c r="T48" i="12" l="1"/>
  <c r="U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V49" i="12"/>
  <c r="U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S52" i="12" s="1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R57" i="12" s="1"/>
  <c r="A58" i="12" a="1"/>
  <c r="Q57" i="12" l="1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P58" i="12" l="1"/>
  <c r="U58" i="12"/>
  <c r="Q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S59" i="12" s="1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R60" i="12" l="1"/>
  <c r="V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T61" i="12" s="1"/>
  <c r="Y61" i="12"/>
  <c r="AP61" i="12"/>
  <c r="AM61" i="12"/>
  <c r="AH61" i="12"/>
  <c r="E61" i="12"/>
  <c r="D61" i="12"/>
  <c r="J61" i="12"/>
  <c r="A62" i="12" a="1"/>
  <c r="U61" i="12" l="1"/>
  <c r="P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U63" i="12" l="1"/>
  <c r="Q63" i="12"/>
  <c r="V63" i="12"/>
  <c r="S63" i="12"/>
  <c r="O63" i="12"/>
  <c r="N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R65" i="12" s="1"/>
  <c r="A66" i="12" a="1"/>
  <c r="P65" i="12" l="1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N66" i="12" s="1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R66" i="12" l="1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S67" i="12" l="1"/>
  <c r="U67" i="12"/>
  <c r="V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T70" i="12" l="1"/>
  <c r="N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P74" i="12" l="1"/>
  <c r="R74" i="12"/>
  <c r="S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N75" i="12" s="1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N76" i="12" s="1"/>
  <c r="A77" i="12" a="1"/>
  <c r="T76" i="12" l="1"/>
  <c r="V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R77" i="12" l="1"/>
  <c r="U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O80" i="12" s="1"/>
  <c r="A81" i="12" a="1"/>
  <c r="P80" i="12" l="1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Q84" i="12" s="1"/>
  <c r="C84" i="12"/>
  <c r="E84" i="12"/>
  <c r="A85" i="12" a="1"/>
  <c r="P84" i="12" l="1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T86" i="12" s="1"/>
  <c r="AP86" i="12"/>
  <c r="K86" i="12"/>
  <c r="AQ86" i="12"/>
  <c r="B86" i="12"/>
  <c r="L86" i="12"/>
  <c r="AH86" i="12"/>
  <c r="I86" i="12"/>
  <c r="AA86" i="12"/>
  <c r="A87" i="12" a="1"/>
  <c r="P86" i="12" l="1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N87" i="12" s="1"/>
  <c r="AC87" i="12"/>
  <c r="Q87" i="12" s="1"/>
  <c r="Y87" i="12"/>
  <c r="AS87" i="12"/>
  <c r="AM87" i="12"/>
  <c r="AF87" i="12"/>
  <c r="AO87" i="12"/>
  <c r="AD87" i="12"/>
  <c r="C87" i="12"/>
  <c r="A88" i="12" a="1"/>
  <c r="S87" i="12" l="1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O88" i="12" s="1"/>
  <c r="AE88" i="12"/>
  <c r="AR88" i="12"/>
  <c r="A89" i="12" a="1"/>
  <c r="N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R89" i="12" l="1"/>
  <c r="T89" i="12"/>
  <c r="S89" i="12"/>
  <c r="P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N90" i="12" s="1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U90" i="12" l="1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O95" i="12" s="1"/>
  <c r="AP95" i="12"/>
  <c r="A96" i="12" a="1"/>
  <c r="P95" i="12" l="1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Q96" i="12" s="1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P96" i="12" s="1"/>
  <c r="AS96" i="12"/>
  <c r="Y96" i="12"/>
  <c r="AT96" i="12"/>
  <c r="AM96" i="12"/>
  <c r="Z96" i="12"/>
  <c r="J96" i="12"/>
  <c r="AQ96" i="12"/>
  <c r="AR96" i="12"/>
  <c r="K96" i="12"/>
  <c r="A97" i="12" a="1"/>
  <c r="R96" i="12" l="1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O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O100" i="12" s="1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Q100" i="12" l="1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U101" i="12" s="1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T101" i="12" l="1"/>
  <c r="R101" i="12"/>
  <c r="V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N102" i="12" s="1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U102" i="12" l="1"/>
  <c r="R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P103" i="12" s="1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T103" i="12" l="1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P105" i="12" l="1"/>
  <c r="N105" i="12"/>
  <c r="S105" i="12"/>
  <c r="U105" i="12"/>
  <c r="Q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T106" i="12" s="1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S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O108" i="12" l="1"/>
  <c r="U108" i="12"/>
  <c r="Q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Q109" i="12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O110" i="12" s="1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N110" i="12" l="1"/>
  <c r="P110" i="12"/>
  <c r="R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V111" i="12" s="1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S111" i="12" l="1"/>
  <c r="U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Q115" i="12" s="1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S115" i="12" l="1"/>
  <c r="R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S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U120" i="12" l="1"/>
  <c r="V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O122" i="12" s="1"/>
  <c r="AR122" i="12"/>
  <c r="AC122" i="12"/>
  <c r="AG122" i="12"/>
  <c r="AT122" i="12"/>
  <c r="AH122" i="12"/>
  <c r="J122" i="12"/>
  <c r="AS122" i="12"/>
  <c r="A123" i="12" a="1"/>
  <c r="Q122" i="12" l="1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V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R126" i="12" s="1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N126" i="12" l="1"/>
  <c r="U126" i="12"/>
  <c r="T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U127" i="12" s="1"/>
  <c r="AO127" i="12"/>
  <c r="AD127" i="12"/>
  <c r="AL127" i="12"/>
  <c r="AF127" i="12"/>
  <c r="AQ127" i="12"/>
  <c r="AE127" i="12"/>
  <c r="AR127" i="12"/>
  <c r="B127" i="12"/>
  <c r="A128" i="12" a="1"/>
  <c r="R127" i="12" l="1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V134" i="12" l="1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S135" i="12" s="1"/>
  <c r="C135" i="12"/>
  <c r="AC135" i="12"/>
  <c r="Y135" i="12"/>
  <c r="AF135" i="12"/>
  <c r="Z135" i="12"/>
  <c r="L135" i="12"/>
  <c r="AM135" i="12"/>
  <c r="E135" i="12"/>
  <c r="AG135" i="12"/>
  <c r="U135" i="12" s="1"/>
  <c r="A136" i="12" a="1"/>
  <c r="P135" i="12" l="1"/>
  <c r="T135" i="12"/>
  <c r="O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R137" i="12" s="1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O137" i="12" s="1"/>
  <c r="I137" i="12"/>
  <c r="C137" i="12"/>
  <c r="AT137" i="12"/>
  <c r="A138" i="12" a="1"/>
  <c r="P137" i="12" l="1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S138" i="12" s="1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O139" i="12" s="1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Q139" i="12" l="1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V140" i="12" l="1"/>
  <c r="Q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Q141" i="12" l="1"/>
  <c r="S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N142" i="12" s="1"/>
  <c r="AK142" i="12"/>
  <c r="AQ142" i="12"/>
  <c r="AM142" i="12"/>
  <c r="E142" i="12"/>
  <c r="AF142" i="12"/>
  <c r="I142" i="12"/>
  <c r="AN142" i="12"/>
  <c r="Y142" i="12"/>
  <c r="AG142" i="12"/>
  <c r="A143" i="12" a="1"/>
  <c r="V142" i="12" l="1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P145" i="12" s="1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T145" i="12" l="1"/>
  <c r="Q145" i="12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N146" i="12" s="1"/>
  <c r="AG146" i="12"/>
  <c r="U146" i="12" s="1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Q146" i="12" l="1"/>
  <c r="R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N147" i="12" s="1"/>
  <c r="A148" i="12" a="1"/>
  <c r="P147" i="12" l="1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R150" i="12" s="1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T151" i="12" s="1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N151" i="12"/>
  <c r="U151" i="12"/>
  <c r="P151" i="12"/>
  <c r="AU151" i="12"/>
  <c r="R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S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T153" i="12" s="1"/>
  <c r="AE153" i="12"/>
  <c r="K153" i="12"/>
  <c r="B153" i="12"/>
  <c r="AR153" i="12"/>
  <c r="AT153" i="12"/>
  <c r="AN153" i="12"/>
  <c r="AA153" i="12"/>
  <c r="O153" i="12" s="1"/>
  <c r="Z153" i="12"/>
  <c r="N153" i="12" s="1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P153" i="12" l="1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O159" i="12" s="1"/>
  <c r="AP159" i="12"/>
  <c r="I159" i="12"/>
  <c r="AQ159" i="12"/>
  <c r="A160" i="12" a="1"/>
  <c r="U159" i="12" l="1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P162" i="12" s="1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S162" i="12" l="1"/>
  <c r="U162" i="12"/>
  <c r="T162" i="12"/>
  <c r="Q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P163" i="12" s="1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V163" i="12" l="1"/>
  <c r="N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O164" i="12" l="1"/>
  <c r="Q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U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P166" i="12" s="1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O166" i="12" l="1"/>
  <c r="R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N167" i="12"/>
  <c r="S167" i="12"/>
  <c r="O167" i="12"/>
  <c r="R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O168" i="12" s="1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T168" i="12" l="1"/>
  <c r="Q168" i="12"/>
  <c r="U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N170" i="12" l="1"/>
  <c r="Q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P174" i="12" l="1"/>
  <c r="Q174" i="12"/>
  <c r="O174" i="12"/>
  <c r="S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T175" i="12" s="1"/>
  <c r="AK175" i="12"/>
  <c r="AD175" i="12"/>
  <c r="D175" i="12"/>
  <c r="AN175" i="12"/>
  <c r="AR175" i="12"/>
  <c r="E175" i="12"/>
  <c r="Z175" i="12"/>
  <c r="N175" i="12" s="1"/>
  <c r="A176" i="12" a="1"/>
  <c r="U175" i="12" l="1"/>
  <c r="S175" i="12"/>
  <c r="Q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R177" i="12" s="1"/>
  <c r="C177" i="12"/>
  <c r="K177" i="12"/>
  <c r="AR177" i="12"/>
  <c r="AK177" i="12"/>
  <c r="L177" i="12"/>
  <c r="Z177" i="12"/>
  <c r="AG177" i="12"/>
  <c r="AH177" i="12"/>
  <c r="V177" i="12" s="1"/>
  <c r="A178" i="12" a="1"/>
  <c r="N177" i="12" l="1"/>
  <c r="O177" i="12"/>
  <c r="Q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N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S180" i="12" s="1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N182" i="12" s="1"/>
  <c r="AE182" i="12"/>
  <c r="AR182" i="12"/>
  <c r="AN182" i="12"/>
  <c r="AF182" i="12"/>
  <c r="AB182" i="12"/>
  <c r="AH182" i="12"/>
  <c r="AP182" i="12"/>
  <c r="A183" i="12" a="1"/>
  <c r="V182" i="12" l="1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N183" i="12" s="1"/>
  <c r="C183" i="12"/>
  <c r="I183" i="12"/>
  <c r="Y183" i="12"/>
  <c r="AL183" i="12"/>
  <c r="AM183" i="12"/>
  <c r="AP183" i="12"/>
  <c r="AS183" i="12"/>
  <c r="AH183" i="12"/>
  <c r="V183" i="12" s="1"/>
  <c r="B183" i="12"/>
  <c r="AC183" i="12"/>
  <c r="AK183" i="12"/>
  <c r="L183" i="12"/>
  <c r="AN183" i="12"/>
  <c r="AR183" i="12"/>
  <c r="K183" i="12"/>
  <c r="AA183" i="12"/>
  <c r="O183" i="12" s="1"/>
  <c r="A184" i="12" a="1"/>
  <c r="Q183" i="12" l="1"/>
  <c r="T183" i="12"/>
  <c r="AU183" i="12"/>
  <c r="P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R184" i="12" s="1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V185" i="12" s="1"/>
  <c r="D185" i="12"/>
  <c r="AK185" i="12"/>
  <c r="Z185" i="12"/>
  <c r="C185" i="12"/>
  <c r="K185" i="12"/>
  <c r="AA185" i="12"/>
  <c r="O185" i="12" s="1"/>
  <c r="AE185" i="12"/>
  <c r="E185" i="12"/>
  <c r="AS185" i="12"/>
  <c r="A186" i="12" a="1"/>
  <c r="N185" i="12" l="1"/>
  <c r="AU185" i="12"/>
  <c r="Q185" i="12"/>
  <c r="R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V186" i="12" l="1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R189" i="12" s="1"/>
  <c r="AS189" i="12"/>
  <c r="C189" i="12"/>
  <c r="D189" i="12"/>
  <c r="AE189" i="12"/>
  <c r="AA189" i="12"/>
  <c r="AR189" i="12"/>
  <c r="AC189" i="12"/>
  <c r="AK189" i="12"/>
  <c r="AB189" i="12"/>
  <c r="P189" i="12" s="1"/>
  <c r="B189" i="12"/>
  <c r="A190" i="12" a="1"/>
  <c r="S189" i="12" l="1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S190" i="12"/>
  <c r="N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R191" i="12" s="1"/>
  <c r="AA191" i="12"/>
  <c r="Y191" i="12"/>
  <c r="AN191" i="12"/>
  <c r="AR191" i="12"/>
  <c r="AE191" i="12"/>
  <c r="AC191" i="12"/>
  <c r="Q191" i="12" s="1"/>
  <c r="AT191" i="12"/>
  <c r="AM191" i="12"/>
  <c r="I191" i="12"/>
  <c r="B191" i="12"/>
  <c r="AK191" i="12"/>
  <c r="AQ191" i="12"/>
  <c r="AG191" i="12"/>
  <c r="Z191" i="12"/>
  <c r="N191" i="12" s="1"/>
  <c r="A192" i="12" a="1"/>
  <c r="P191" i="12" l="1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Q192" i="12" l="1"/>
  <c r="P192" i="12"/>
  <c r="R192" i="12"/>
  <c r="S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P195" i="12" s="1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U195" i="12" l="1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R196" i="12" l="1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S198" i="12" l="1"/>
  <c r="V198" i="12"/>
  <c r="U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R199" i="12" l="1"/>
  <c r="O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N200" i="12" s="1"/>
  <c r="AG200" i="12"/>
  <c r="J200" i="12"/>
  <c r="D200" i="12"/>
  <c r="AT200" i="12"/>
  <c r="AC200" i="12"/>
  <c r="AH200" i="12"/>
  <c r="C200" i="12"/>
  <c r="AE200" i="12"/>
  <c r="L200" i="12"/>
  <c r="AO200" i="12"/>
  <c r="A201" i="12" a="1"/>
  <c r="S200" i="12" l="1"/>
  <c r="R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V201" i="12" l="1"/>
  <c r="S201" i="12"/>
  <c r="N201" i="12"/>
  <c r="T201" i="12"/>
  <c r="O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U203" i="12"/>
  <c r="O203" i="12"/>
  <c r="R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R204" i="12" l="1"/>
  <c r="P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N205" i="12" s="1"/>
  <c r="AM205" i="12"/>
  <c r="AD205" i="12"/>
  <c r="R205" i="12" s="1"/>
  <c r="A206" i="12" a="1"/>
  <c r="O205" i="12" l="1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N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N207" i="12" l="1"/>
  <c r="R207" i="12"/>
  <c r="Q207" i="12"/>
  <c r="S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V209" i="12" s="1"/>
  <c r="A210" i="12" a="1"/>
  <c r="Q209" i="12" l="1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Q210" i="12" s="1"/>
  <c r="AH210" i="12"/>
  <c r="AT210" i="12"/>
  <c r="AR210" i="12"/>
  <c r="J210" i="12"/>
  <c r="AF210" i="12"/>
  <c r="T210" i="12" s="1"/>
  <c r="A211" i="12" a="1"/>
  <c r="P210" i="12" l="1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O211" i="12"/>
  <c r="P211" i="12"/>
  <c r="R211" i="12"/>
  <c r="Q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N213" i="12" l="1"/>
  <c r="P213" i="12"/>
  <c r="R213" i="12"/>
  <c r="U213" i="12"/>
  <c r="V213" i="12"/>
  <c r="O213" i="12"/>
  <c r="Q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O215" i="12" l="1"/>
  <c r="Q215" i="12"/>
  <c r="T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N216" i="12" s="1"/>
  <c r="I216" i="12"/>
  <c r="AN216" i="12"/>
  <c r="A217" i="12" a="1"/>
  <c r="V216" i="12" l="1"/>
  <c r="O216" i="12"/>
  <c r="R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Q217" i="12" l="1"/>
  <c r="P217" i="12"/>
  <c r="N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S218" i="12"/>
  <c r="T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Q219" i="12" s="1"/>
  <c r="AF219" i="12"/>
  <c r="AP219" i="12"/>
  <c r="Z219" i="12"/>
  <c r="AB219" i="12"/>
  <c r="Y219" i="12"/>
  <c r="C219" i="12"/>
  <c r="AL219" i="12"/>
  <c r="J219" i="12"/>
  <c r="A220" i="12" a="1"/>
  <c r="U219" i="12" l="1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N220" i="12" s="1"/>
  <c r="Y220" i="12"/>
  <c r="I220" i="12"/>
  <c r="AR220" i="12"/>
  <c r="AM220" i="12"/>
  <c r="AH220" i="12"/>
  <c r="L220" i="12"/>
  <c r="AQ220" i="12"/>
  <c r="A221" i="12" a="1"/>
  <c r="O220" i="12" l="1"/>
  <c r="Q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N222" i="12" l="1"/>
  <c r="S222" i="12"/>
  <c r="P222" i="12"/>
  <c r="U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T223" i="12" s="1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O223" i="12" s="1"/>
  <c r="AP223" i="12"/>
  <c r="J223" i="12"/>
  <c r="AD223" i="12"/>
  <c r="AO223" i="12"/>
  <c r="AG223" i="12"/>
  <c r="Y223" i="12"/>
  <c r="A224" i="12" a="1"/>
  <c r="U223" i="12" l="1"/>
  <c r="V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P224" i="12" l="1"/>
  <c r="Q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O229" i="12" l="1"/>
  <c r="V229" i="12"/>
  <c r="P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R231" i="12" s="1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O231" i="12" l="1"/>
  <c r="Q231" i="12"/>
  <c r="T231" i="12"/>
  <c r="V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P232" i="12" s="1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N232" i="12" l="1"/>
  <c r="Q232" i="12"/>
  <c r="S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R233" i="12" s="1"/>
  <c r="AM233" i="12"/>
  <c r="AB233" i="12"/>
  <c r="E233" i="12"/>
  <c r="AN233" i="12"/>
  <c r="AE233" i="12"/>
  <c r="AT233" i="12"/>
  <c r="B233" i="12"/>
  <c r="A234" i="12" a="1"/>
  <c r="Q233" i="12" l="1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R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N235" i="12" l="1"/>
  <c r="V235" i="12"/>
  <c r="O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S236" i="12" l="1"/>
  <c r="U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P237" i="12" l="1"/>
  <c r="R237" i="12"/>
  <c r="T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Q238" i="12"/>
  <c r="U238" i="12"/>
  <c r="N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U239" i="12" s="1"/>
  <c r="A240" i="12" a="1"/>
  <c r="V239" i="12" l="1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V240" i="12" s="1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O240" i="12" l="1"/>
  <c r="Q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R241" i="12" s="1"/>
  <c r="AE241" i="12"/>
  <c r="J241" i="12"/>
  <c r="AM241" i="12"/>
  <c r="AS241" i="12"/>
  <c r="AO241" i="12"/>
  <c r="Y241" i="12"/>
  <c r="AG241" i="12"/>
  <c r="U241" i="12" s="1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Q241" i="12" s="1"/>
  <c r="A242" i="12" a="1"/>
  <c r="S241" i="12" l="1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Q242" i="12" l="1"/>
  <c r="U242" i="12"/>
  <c r="S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O243" i="12"/>
  <c r="S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N245" i="12" s="1"/>
  <c r="AD245" i="12"/>
  <c r="AP245" i="12"/>
  <c r="AC245" i="12"/>
  <c r="AA245" i="12"/>
  <c r="L245" i="12"/>
  <c r="AS245" i="12"/>
  <c r="AF245" i="12"/>
  <c r="A246" i="12" a="1"/>
  <c r="V245" i="12" l="1"/>
  <c r="Q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N246" i="12" l="1"/>
  <c r="P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V247" i="12" s="1"/>
  <c r="AS247" i="12"/>
  <c r="AK247" i="12"/>
  <c r="AP247" i="12"/>
  <c r="AG247" i="12"/>
  <c r="AO247" i="12"/>
  <c r="AN247" i="12"/>
  <c r="Z247" i="12"/>
  <c r="A248" i="12" a="1"/>
  <c r="P247" i="12" l="1"/>
  <c r="N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T249" i="12" l="1"/>
  <c r="Q249" i="12"/>
  <c r="R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U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V253" i="12" l="1"/>
  <c r="O253" i="12"/>
  <c r="U253" i="12"/>
  <c r="R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O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P255" i="12"/>
  <c r="O255" i="12"/>
  <c r="U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O256" i="12" l="1"/>
  <c r="N256" i="12"/>
  <c r="S256" i="12"/>
  <c r="P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U257" i="12" l="1"/>
  <c r="P257" i="12"/>
  <c r="S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N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S259" i="12"/>
  <c r="Q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P260" i="12" l="1"/>
  <c r="V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O261" i="12" l="1"/>
  <c r="N261" i="12"/>
  <c r="U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R262" i="12" l="1"/>
  <c r="S262" i="12"/>
  <c r="Q262" i="12"/>
  <c r="O262" i="12"/>
  <c r="P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P263" i="12" l="1"/>
  <c r="N263" i="12"/>
  <c r="R263" i="12"/>
  <c r="V263" i="12"/>
  <c r="U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S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S265" i="12" s="1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R266" i="12" l="1"/>
  <c r="U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O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U269" i="12" s="1"/>
  <c r="A270" i="12" a="1"/>
  <c r="Q269" i="12" l="1"/>
  <c r="V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O270" i="12" s="1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R270" i="12" s="1"/>
  <c r="A271" i="12" a="1"/>
  <c r="S270" i="12" l="1"/>
  <c r="N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P271" i="12"/>
  <c r="U271" i="12"/>
  <c r="V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Q272" i="12" l="1"/>
  <c r="U272" i="12"/>
  <c r="R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V273" i="12" l="1"/>
  <c r="U273" i="12"/>
  <c r="O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Q274" i="12"/>
  <c r="P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V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N277" i="12" l="1"/>
  <c r="V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U278" i="12" s="1"/>
  <c r="D278" i="12"/>
  <c r="AB278" i="12"/>
  <c r="A279" i="12" a="1"/>
  <c r="O278" i="12" l="1"/>
  <c r="V278" i="12"/>
  <c r="R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N279" i="12" l="1"/>
  <c r="S279" i="12"/>
  <c r="T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R280" i="12" s="1"/>
  <c r="D280" i="12"/>
  <c r="AR280" i="12"/>
  <c r="AQ280" i="12"/>
  <c r="E280" i="12"/>
  <c r="AS280" i="12"/>
  <c r="AL280" i="12"/>
  <c r="AK280" i="12"/>
  <c r="AH280" i="12"/>
  <c r="AO280" i="12"/>
  <c r="A281" i="12" a="1"/>
  <c r="N280" i="12" l="1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S282" i="12" s="1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V284" i="12"/>
  <c r="R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V286" i="12" l="1"/>
  <c r="Q286" i="12"/>
  <c r="AU286" i="12"/>
  <c r="S286" i="12"/>
  <c r="O286" i="12"/>
  <c r="T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P287" i="12" s="1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Q288" i="12" s="1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U288" i="12" l="1"/>
  <c r="T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P289" i="12" s="1"/>
  <c r="AO289" i="12"/>
  <c r="AA289" i="12"/>
  <c r="B289" i="12"/>
  <c r="AS289" i="12"/>
  <c r="AC289" i="12"/>
  <c r="J289" i="12"/>
  <c r="AM289" i="12"/>
  <c r="AE289" i="12"/>
  <c r="S289" i="12" s="1"/>
  <c r="AT289" i="12"/>
  <c r="Y289" i="12"/>
  <c r="AG289" i="12"/>
  <c r="AN289" i="12"/>
  <c r="K289" i="12"/>
  <c r="AL289" i="12"/>
  <c r="AK289" i="12"/>
  <c r="A290" i="12" a="1"/>
  <c r="R289" i="12" l="1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N290" i="12" s="1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T290" i="12" s="1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R290" i="12" l="1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N292" i="12" l="1"/>
  <c r="U292" i="12"/>
  <c r="R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O293" i="12" l="1"/>
  <c r="U293" i="12"/>
  <c r="T293" i="12"/>
  <c r="Q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S295" i="12" s="1"/>
  <c r="Z295" i="12"/>
  <c r="K295" i="12"/>
  <c r="C295" i="12"/>
  <c r="AA295" i="12"/>
  <c r="AQ295" i="12"/>
  <c r="AB295" i="12"/>
  <c r="B295" i="12"/>
  <c r="AT295" i="12"/>
  <c r="AD295" i="12"/>
  <c r="R295" i="12" s="1"/>
  <c r="AK295" i="12"/>
  <c r="D295" i="12"/>
  <c r="AG295" i="12"/>
  <c r="U295" i="12" s="1"/>
  <c r="AP295" i="12"/>
  <c r="E295" i="12"/>
  <c r="AR295" i="12"/>
  <c r="A296" i="12" a="1"/>
  <c r="P295" i="12" l="1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V296" i="12" l="1"/>
  <c r="T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R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U298" i="12" l="1"/>
  <c r="Q298" i="12"/>
  <c r="V298" i="12"/>
  <c r="T298" i="12"/>
  <c r="S298" i="12"/>
  <c r="N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T299" i="12" l="1"/>
  <c r="V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N300" i="12" s="1"/>
  <c r="AH300" i="12"/>
  <c r="V300" i="12" s="1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<sst xmlns="http://schemas.openxmlformats.org/spreadsheetml/2006/main" count="2342" uniqueCount="1415">
  <si>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</si>
  <si>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</si>
  <si>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</si>
  <si>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</si>
  <si>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</si>
  <si>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</si>
  <si>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</si>
  <si>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</si>
  <si>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</si>
  <si>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</si>
  <si>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</si>
  <si>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</si>
  <si>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</si>
  <si>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</si>
  <si>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</si>
  <si>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</si>
  <si>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</si>
  <si>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</si>
  <si>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</si>
  <si>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</si>
  <si>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</si>
  <si>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</si>
  <si>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</si>
  <si>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</si>
  <si>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</si>
  <si>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</si>
  <si>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</si>
  <si>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</si>
  <si>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</si>
  <si>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</si>
  <si>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</si>
  <si>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</si>
  <si>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</si>
  <si>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</si>
  <si>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</si>
  <si>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</si>
  <si>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</si>
  <si>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</si>
  <si>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</si>
  <si>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</si>
  <si>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</si>
  <si>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</si>
  <si>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</si>
  <si>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</si>
  <si>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</si>
  <si>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</si>
  <si>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</si>
  <si>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</si>
  <si>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</si>
  <si>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</si>
  <si>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</si>
  <si>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</si>
  <si>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</si>
  <si>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</si>
  <si>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</si>
  <si>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</si>
  <si>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</si>
  <si>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</si>
  <si>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</si>
  <si>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</si>
  <si>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</si>
  <si>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</si>
  <si>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</si>
  <si>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</si>
  <si>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</si>
  <si>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</si>
  <si>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</si>
  <si>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</si>
  <si>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</si>
  <si>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</si>
  <si>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</si>
  <si>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</si>
  <si>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</si>
  <si>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</si>
  <si>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</si>
  <si>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</si>
  <si>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</si>
  <si>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</si>
  <si>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</si>
  <si>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</si>
  <si>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</si>
  <si>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</si>
  <si>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</si>
  <si>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</si>
  <si>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</si>
  <si>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</si>
  <si>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</si>
  <si>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</si>
  <si>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</si>
  <si>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</si>
  <si>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</si>
  <si>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</si>
  <si>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</si>
  <si>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</si>
  <si>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</si>
  <si>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</si>
  <si>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</si>
  <si>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</si>
  <si>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</si>
  <si>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</si>
  <si>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</si>
  <si>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</si>
  <si>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</si>
  <si>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</si>
  <si>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</si>
  <si>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</si>
  <si>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</si>
  <si>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</si>
  <si>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</si>
  <si>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</si>
  <si>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</si>
  <si>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</si>
  <si>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</si>
  <si>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</si>
  <si>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</si>
  <si>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</si>
  <si>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</si>
  <si>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</si>
  <si>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</si>
  <si>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</si>
  <si>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</si>
  <si>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</si>
  <si>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</si>
  <si>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</si>
  <si>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</si>
  <si>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</si>
  <si>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</si>
  <si>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</si>
  <si>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</si>
  <si>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</si>
  <si>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</si>
  <si>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</si>
  <si>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</si>
  <si>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</si>
  <si>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</si>
  <si>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</si>
  <si>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</si>
  <si>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</si>
  <si>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</si>
  <si>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</si>
  <si>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</si>
  <si>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</si>
  <si>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</si>
  <si>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</si>
  <si>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</si>
  <si>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</si>
  <si>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</si>
  <si>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</si>
  <si>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</si>
  <si>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</si>
  <si>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</si>
  <si>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</si>
  <si>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</si>
  <si>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</si>
  <si>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</si>
  <si>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</si>
  <si>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</si>
  <si>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</si>
  <si>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</si>
  <si>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</si>
  <si>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</si>
  <si>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</si>
  <si>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</si>
  <si>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</si>
  <si>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</si>
  <si>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</si>
  <si>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</si>
  <si>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</si>
  <si>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</si>
  <si>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</si>
  <si>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</si>
  <si>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</si>
  <si>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</si>
  <si>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</si>
  <si>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</si>
  <si>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</si>
  <si>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</si>
  <si>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</si>
  <si>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</si>
  <si>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</si>
  <si>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</si>
  <si>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</si>
  <si>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</si>
  <si>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</si>
  <si>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</si>
  <si>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</si>
  <si>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</si>
  <si>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</si>
  <si>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</si>
  <si>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</si>
  <si>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</si>
  <si>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</si>
  <si>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</si>
  <si>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</si>
  <si>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</si>
  <si>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</si>
  <si>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</si>
  <si>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</si>
  <si>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</si>
  <si>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</si>
  <si>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</si>
  <si>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</si>
  <si>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</si>
  <si>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</si>
  <si>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</si>
  <si>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</si>
  <si>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</si>
  <si>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</si>
  <si>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</si>
  <si>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</si>
  <si>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</si>
  <si>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</si>
  <si>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</si>
  <si>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</si>
  <si>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</si>
  <si>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</si>
  <si>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</si>
  <si>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</si>
  <si>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</si>
  <si>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</si>
  <si>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</si>
  <si>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</si>
  <si>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</si>
  <si>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</si>
  <si>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</si>
  <si>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</si>
  <si>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</si>
  <si>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</si>
  <si>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</si>
  <si>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</si>
  <si>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</si>
  <si>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</si>
  <si>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</si>
  <si>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</si>
  <si>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</si>
  <si>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</si>
  <si>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</si>
  <si>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</si>
  <si>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</si>
  <si>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</si>
  <si>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</si>
  <si>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</si>
  <si>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</si>
  <si>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</si>
  <si>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</si>
  <si>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</si>
  <si>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</si>
  <si>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</si>
  <si>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</si>
  <si>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</si>
  <si>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</si>
  <si>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</si>
  <si>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</si>
  <si>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</si>
  <si>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</si>
  <si>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</si>
  <si>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</si>
  <si>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</si>
  <si>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</si>
  <si>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</si>
  <si>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</si>
  <si>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</si>
  <si>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</si>
  <si>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</si>
  <si>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</si>
  <si>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</si>
  <si>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</si>
  <si>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</si>
  <si>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</si>
  <si>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</si>
  <si>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</si>
  <si>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</si>
  <si>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</si>
  <si>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</si>
  <si>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</si>
  <si>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</si>
  <si>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</si>
  <si>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</si>
  <si>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</si>
  <si>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</si>
  <si>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</si>
  <si>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</si>
  <si>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</si>
  <si>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</si>
  <si>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</si>
  <si>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</si>
  <si>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</si>
  <si>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</si>
  <si>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</si>
  <si>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</si>
  <si>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</si>
  <si>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</si>
  <si>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</si>
  <si>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</si>
  <si>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</si>
  <si>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</si>
  <si>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</si>
  <si>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</si>
  <si>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</si>
  <si>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</si>
  <si>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</si>
  <si>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</si>
  <si>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</si>
  <si>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</si>
  <si>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</si>
  <si>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</si>
  <si>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</si>
  <si>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</si>
  <si>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</si>
  <si>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</si>
  <si>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</si>
  <si>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</si>
  <si>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</si>
  <si>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</si>
  <si>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</si>
  <si>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</si>
  <si>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</si>
  <si>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</si>
  <si>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</si>
  <si>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</si>
  <si>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</si>
  <si>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</si>
  <si>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</si>
  <si>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</si>
  <si>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</si>
  <si>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</si>
  <si>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</si>
  <si>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</si>
  <si>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</si>
  <si>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</si>
  <si>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</si>
  <si>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</si>
  <si>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</si>
  <si>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</si>
  <si>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</si>
  <si>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</si>
  <si>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</si>
  <si>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</si>
  <si>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</si>
  <si>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</si>
  <si>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</si>
  <si>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</si>
  <si>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</si>
  <si>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</si>
  <si>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</si>
  <si>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</si>
  <si>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</si>
  <si>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</si>
  <si>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</si>
  <si>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</si>
  <si>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</si>
  <si>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</si>
  <si>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</si>
  <si>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</si>
  <si>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</si>
  <si>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</si>
  <si>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</si>
  <si>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</si>
  <si>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</si>
  <si>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</si>
  <si>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</si>
  <si>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</si>
  <si>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</si>
  <si>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</si>
  <si>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</si>
  <si>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</si>
  <si>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</si>
  <si>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</si>
  <si>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</si>
  <si>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</si>
  <si>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</si>
  <si>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</si>
  <si>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</si>
  <si>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</si>
  <si>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</si>
  <si>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</si>
  <si>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</si>
  <si>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</si>
  <si>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</si>
  <si>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</si>
  <si>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</si>
  <si>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</si>
  <si>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</si>
  <si>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</si>
  <si>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</si>
  <si>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</si>
  <si>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</si>
  <si>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</si>
  <si>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</si>
  <si>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</si>
  <si>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</si>
  <si>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</si>
  <si>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</si>
  <si>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</si>
  <si>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</si>
  <si>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</si>
  <si>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</si>
  <si>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</si>
  <si>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</si>
  <si>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</si>
  <si>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</si>
  <si>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</si>
  <si>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</si>
  <si>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</si>
  <si>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</si>
  <si>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</si>
  <si>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</si>
  <si>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</si>
  <si>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</si>
  <si>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</si>
  <si>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</si>
  <si>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</si>
  <si>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</si>
  <si>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</si>
  <si>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</si>
  <si>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</si>
  <si>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</si>
  <si>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</si>
  <si>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</si>
  <si>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</si>
  <si>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</si>
  <si>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</si>
  <si>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</si>
  <si>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</si>
  <si>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</si>
  <si>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</si>
  <si>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</si>
  <si>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</si>
  <si>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</si>
  <si>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</si>
  <si>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</si>
  <si>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</si>
  <si>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</si>
  <si>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</si>
  <si>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</si>
  <si>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</si>
  <si>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</si>
  <si>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</si>
  <si>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</si>
  <si>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</si>
  <si>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</si>
  <si>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</si>
  <si>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</si>
  <si>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</si>
  <si>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</si>
  <si>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</si>
  <si>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</si>
  <si>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</si>
  <si>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</si>
  <si>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</si>
  <si>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</si>
  <si>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</si>
  <si>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</si>
  <si>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</si>
  <si>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</si>
  <si>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</si>
  <si>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</si>
  <si>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</si>
  <si>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</si>
  <si>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</si>
  <si>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</si>
  <si>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</si>
  <si>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</si>
  <si>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</si>
  <si>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</si>
  <si>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</si>
  <si>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</si>
  <si>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</si>
  <si>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</si>
  <si>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</si>
  <si>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</si>
  <si>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</si>
  <si>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</si>
  <si>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</si>
  <si>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</si>
  <si>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</si>
  <si>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</si>
  <si>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</si>
  <si>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</si>
  <si>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</si>
  <si>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</si>
  <si>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</si>
  <si>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</si>
  <si>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</si>
  <si>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</si>
  <si>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</si>
  <si>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</si>
  <si>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</si>
  <si>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</si>
  <si>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</si>
  <si>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</si>
  <si>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</si>
  <si>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</si>
  <si>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</si>
  <si>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</si>
  <si>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</si>
  <si>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</si>
  <si>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</si>
  <si>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</si>
  <si>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</si>
  <si>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</si>
  <si>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</si>
  <si>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</si>
  <si>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</si>
  <si>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</si>
  <si>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</si>
  <si>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</si>
  <si>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</si>
  <si>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</si>
  <si>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</si>
  <si>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</si>
  <si>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</si>
  <si>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</si>
  <si>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</si>
  <si>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</si>
  <si>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</si>
  <si>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</si>
  <si>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</si>
  <si>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</si>
  <si>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</si>
  <si>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</si>
  <si>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</si>
  <si>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</si>
  <si>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</si>
  <si>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</si>
  <si>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</si>
  <si>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</si>
  <si>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</si>
  <si>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</si>
  <si>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</si>
  <si>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</si>
  <si>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</si>
  <si>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</si>
  <si>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</si>
  <si>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</si>
  <si>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</si>
  <si>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</si>
  <si>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</si>
  <si>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</si>
  <si>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</si>
  <si>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</si>
  <si>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</si>
  <si>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</si>
  <si>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</si>
  <si>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</si>
  <si>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</si>
  <si>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</si>
  <si>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</si>
  <si>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</si>
  <si>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</si>
  <si>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</si>
  <si>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</si>
  <si>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</si>
  <si>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</si>
  <si>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</si>
  <si>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</si>
  <si>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</si>
  <si>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</si>
  <si>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</si>
  <si>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</si>
  <si>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</si>
  <si>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</si>
  <si>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</si>
  <si>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</si>
  <si>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</si>
  <si>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</si>
  <si>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</si>
  <si>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</si>
  <si>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</si>
  <si>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</si>
  <si>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</si>
  <si>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</si>
  <si>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</si>
  <si>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</si>
  <si>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</si>
  <si>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</si>
  <si>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</si>
  <si>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</si>
  <si>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</si>
  <si>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</si>
  <si>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</si>
  <si>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</si>
  <si>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</si>
  <si>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</si>
  <si>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</si>
  <si>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</si>
  <si>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</si>
  <si>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</si>
  <si>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</si>
  <si>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</si>
  <si>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</si>
  <si>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</si>
  <si>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</si>
  <si>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</si>
  <si>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</si>
  <si>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</si>
  <si>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</si>
  <si>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</si>
  <si>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</si>
  <si>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</si>
  <si>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</si>
  <si>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</si>
  <si>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</si>
  <si>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</si>
  <si>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</si>
  <si>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</si>
  <si>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</si>
  <si>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</si>
  <si>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</si>
  <si>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</si>
  <si>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</si>
  <si>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</si>
  <si>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</si>
  <si>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</si>
  <si>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</si>
  <si>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</si>
  <si>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</si>
  <si>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</si>
  <si>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</si>
  <si>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</si>
  <si>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</si>
  <si>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</si>
  <si>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</si>
  <si>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</si>
  <si>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</si>
  <si>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</si>
  <si>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</si>
  <si>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</si>
  <si>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</si>
  <si>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</si>
  <si>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</si>
  <si>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</si>
  <si>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</si>
  <si>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</si>
  <si>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</si>
  <si>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</si>
  <si>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</si>
  <si>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</si>
  <si>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</si>
  <si>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</si>
  <si>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</si>
  <si>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</si>
  <si>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</si>
  <si>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</si>
  <si>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</si>
  <si>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</si>
  <si>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</si>
  <si>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</si>
  <si>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</si>
  <si>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</si>
  <si>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</si>
  <si>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</si>
  <si>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</si>
  <si>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</si>
  <si>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</si>
  <si>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</si>
  <si>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</si>
  <si>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</si>
  <si>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</si>
  <si>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</si>
  <si>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</si>
  <si>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</si>
  <si>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</si>
  <si>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</si>
  <si>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</si>
  <si>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</si>
  <si>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</si>
  <si>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</si>
  <si>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</si>
  <si>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</si>
  <si>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</si>
  <si>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</si>
  <si>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</si>
  <si>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</si>
  <si>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</si>
  <si>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</si>
  <si>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</si>
  <si>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</si>
  <si>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</si>
  <si>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</si>
  <si>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</si>
  <si>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</si>
  <si>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</si>
  <si>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</si>
  <si>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</si>
  <si>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</si>
  <si>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</si>
  <si>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</si>
  <si>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</si>
  <si>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</si>
  <si>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</si>
  <si>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</si>
  <si>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</si>
  <si>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</si>
  <si>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</si>
  <si>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</si>
  <si>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</si>
  <si>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</si>
  <si>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</si>
  <si>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</si>
  <si>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</si>
  <si>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</si>
  <si>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</si>
  <si>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</si>
  <si>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</si>
  <si>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</si>
  <si>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</si>
  <si>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</si>
  <si>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</si>
  <si>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</si>
  <si>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</si>
  <si>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</si>
  <si>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</si>
  <si>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</si>
  <si>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</si>
  <si>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</si>
  <si>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</si>
  <si>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</si>
  <si>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</si>
  <si>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</si>
  <si>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</si>
  <si>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</si>
  <si>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</si>
  <si>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</si>
  <si>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</si>
  <si>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</si>
  <si>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</si>
  <si>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</si>
  <si>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</si>
  <si>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</si>
  <si>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</si>
  <si>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</si>
  <si>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</si>
  <si>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</si>
  <si>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</si>
  <si>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</si>
  <si>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</si>
  <si>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</si>
  <si>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</si>
  <si>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</si>
  <si>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</si>
  <si>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</si>
  <si>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</si>
  <si>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</si>
  <si>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</si>
  <si>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</si>
  <si>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</si>
  <si>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</si>
  <si>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</si>
  <si>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</si>
  <si>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</si>
  <si>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</si>
  <si>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</si>
  <si>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</si>
  <si>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</si>
  <si>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</si>
  <si>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</si>
  <si>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</si>
  <si>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</si>
  <si>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</si>
  <si>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</si>
  <si>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</si>
  <si>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</si>
  <si>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</si>
  <si>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</si>
  <si>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</si>
  <si>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</si>
  <si>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</si>
  <si>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</si>
  <si>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</si>
  <si>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</si>
  <si>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</si>
  <si>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</si>
  <si>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</si>
  <si>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</si>
  <si>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</si>
  <si>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</si>
  <si>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</si>
  <si>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</si>
  <si>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</si>
  <si>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</si>
  <si>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</si>
  <si>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</si>
  <si>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</si>
  <si>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</si>
  <si>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</si>
  <si>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</si>
  <si>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</si>
  <si>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</si>
  <si>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</si>
  <si>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</si>
  <si>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</si>
  <si>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</si>
  <si>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</si>
  <si>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</si>
  <si>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</si>
  <si>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</si>
  <si>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</si>
  <si>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</si>
  <si>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</si>
  <si>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</si>
  <si>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</si>
  <si>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</si>
  <si>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</si>
  <si>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</si>
  <si>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</si>
  <si>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</si>
  <si>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</si>
  <si>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</si>
  <si>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</si>
  <si>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</si>
  <si>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</si>
  <si>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</si>
  <si>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</si>
  <si>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</si>
  <si>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</si>
  <si>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</si>
  <si>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</si>
  <si>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</si>
  <si>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</si>
  <si>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</si>
  <si>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</si>
  <si>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</si>
  <si>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</si>
  <si>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</si>
  <si>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</si>
  <si>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</si>
  <si>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</si>
  <si>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</si>
  <si>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</si>
  <si>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</si>
  <si>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</si>
  <si>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</si>
  <si>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</si>
  <si>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</si>
  <si>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</si>
  <si>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</si>
  <si>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</si>
  <si>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</si>
  <si>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</si>
  <si>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</si>
  <si>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</si>
  <si>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</si>
  <si>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</si>
  <si>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</si>
  <si>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</si>
  <si>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</si>
  <si>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</si>
  <si>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</si>
  <si>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</si>
  <si>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</si>
  <si>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</si>
  <si>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</si>
  <si>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</si>
  <si>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</si>
  <si>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</si>
  <si>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</si>
  <si>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</si>
  <si>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</si>
  <si>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</si>
  <si>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</si>
  <si>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</si>
  <si>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</si>
  <si>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</si>
  <si>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</si>
  <si>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</si>
  <si>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</si>
  <si>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</si>
  <si>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</si>
  <si>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</si>
  <si>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</si>
  <si>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</si>
  <si>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</si>
  <si>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</si>
  <si>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</si>
  <si>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</si>
  <si>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</si>
  <si>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</si>
  <si>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</si>
  <si>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</si>
  <si>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</si>
  <si>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</si>
  <si>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</si>
  <si>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</si>
  <si>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</si>
  <si>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</si>
  <si>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</si>
  <si>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</si>
  <si>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</si>
  <si>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</si>
  <si>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</si>
  <si>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</si>
  <si>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</si>
  <si>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</si>
  <si>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</si>
  <si>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</si>
  <si>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</si>
  <si>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</si>
  <si>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</si>
  <si>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</si>
  <si>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</si>
  <si>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</si>
  <si>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</si>
  <si>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</si>
  <si>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</si>
  <si>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</si>
  <si>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</si>
  <si>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</si>
  <si>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</si>
  <si>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</si>
  <si>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</si>
  <si>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</si>
  <si>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</si>
  <si>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</si>
  <si>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</si>
  <si>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</si>
  <si>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</si>
  <si>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</si>
  <si>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</si>
  <si>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</si>
  <si>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</si>
  <si>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</si>
  <si>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</si>
  <si>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</si>
  <si>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</si>
  <si>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</si>
  <si>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</si>
  <si>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</si>
  <si>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</si>
  <si>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</si>
  <si>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</si>
  <si>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</si>
  <si>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</si>
  <si>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</si>
  <si>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</si>
  <si>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</si>
  <si>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</si>
  <si>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</si>
  <si>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</si>
  <si>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</si>
  <si>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</si>
  <si>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</si>
  <si>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</si>
  <si>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</si>
  <si>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</si>
  <si>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</si>
  <si>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</si>
  <si>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</si>
  <si>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</si>
  <si>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</si>
  <si>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</si>
  <si>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</si>
  <si>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</si>
  <si>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</si>
  <si>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</si>
  <si>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</si>
  <si>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</si>
  <si>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</si>
  <si>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</si>
  <si>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</si>
  <si>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</si>
  <si>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</si>
  <si>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</si>
  <si>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</si>
  <si>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</si>
  <si>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</si>
  <si>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</si>
  <si>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</si>
  <si>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</si>
  <si>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</si>
  <si>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</si>
  <si>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</si>
  <si>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</si>
  <si>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</si>
  <si>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</si>
  <si>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</si>
  <si>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</si>
  <si>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</si>
  <si>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</si>
  <si>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</si>
  <si>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</si>
  <si>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</si>
  <si>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</si>
  <si>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</si>
  <si>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</si>
  <si>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</si>
  <si>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</si>
  <si>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</si>
  <si>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</si>
  <si>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</si>
  <si>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</si>
  <si>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</si>
  <si>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</si>
  <si>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</si>
  <si>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</si>
  <si>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</si>
  <si>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</si>
  <si>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</si>
  <si>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</si>
  <si>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</si>
  <si>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</si>
  <si>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</si>
  <si>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</si>
  <si>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</si>
  <si>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</si>
  <si>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</si>
  <si>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</si>
  <si>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</si>
  <si>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</si>
  <si>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</si>
  <si>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</si>
  <si>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</si>
  <si>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</si>
  <si>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</si>
  <si>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</si>
  <si>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</si>
  <si>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</si>
  <si>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</si>
  <si>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</si>
  <si>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</si>
  <si>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</si>
  <si>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</si>
  <si>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</si>
  <si>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</si>
  <si>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</si>
  <si>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</si>
  <si>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</si>
  <si>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</si>
  <si>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</si>
  <si>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</si>
  <si>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</si>
  <si>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</si>
  <si>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</si>
  <si>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</si>
  <si>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</si>
  <si>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</si>
  <si>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</si>
  <si>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</si>
  <si>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</si>
  <si>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</si>
  <si>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</si>
  <si>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</si>
  <si>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</si>
  <si>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</si>
  <si>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</si>
  <si>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</si>
  <si>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</si>
  <si>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</si>
  <si>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</si>
  <si>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</si>
  <si>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</si>
  <si>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</si>
  <si>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</si>
  <si>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</si>
  <si>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</si>
  <si>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</si>
  <si>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</si>
  <si>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</si>
  <si>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</si>
  <si>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</si>
  <si>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</si>
  <si>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</si>
  <si>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</si>
  <si>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</si>
  <si>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</si>
  <si>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</si>
  <si>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</si>
  <si>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</si>
  <si>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</si>
  <si>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</si>
  <si>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</si>
  <si>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</si>
  <si>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</si>
  <si>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</si>
  <si>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</si>
  <si>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</si>
  <si>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</si>
  <si>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</si>
  <si>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</si>
  <si>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</si>
  <si>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</si>
  <si>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</si>
  <si>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</si>
  <si>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</si>
  <si>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</si>
  <si>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</si>
  <si>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</si>
  <si>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</si>
  <si>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</si>
  <si>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</si>
  <si>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</si>
  <si>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</si>
  <si>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</si>
  <si>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</si>
  <si>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</si>
  <si>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</si>
  <si>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</si>
  <si>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</si>
  <si>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</si>
  <si>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</si>
  <si>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</si>
  <si>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</si>
  <si>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</si>
  <si>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</si>
  <si>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</si>
  <si>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</si>
  <si>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</si>
  <si>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</si>
  <si>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</si>
  <si>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</si>
  <si>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</si>
  <si>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</si>
  <si>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</si>
  <si>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</si>
  <si>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</si>
  <si>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</si>
  <si>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</si>
  <si>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</si>
  <si>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</si>
  <si>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</si>
  <si>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</si>
  <si>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</si>
  <si>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</si>
  <si>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</si>
  <si>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</si>
  <si>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</si>
  <si>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</si>
  <si>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</si>
  <si>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</si>
  <si>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</si>
  <si>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</si>
  <si>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</si>
  <si>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</si>
  <si>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</si>
  <si>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</si>
  <si>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</si>
  <si>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</si>
  <si>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</si>
  <si>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</si>
  <si>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</si>
  <si>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</si>
  <si>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</si>
  <si>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</si>
  <si>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</si>
  <si>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</si>
  <si>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</si>
  <si>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</si>
  <si>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</si>
  <si>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</si>
  <si>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</si>
  <si>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</si>
  <si>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</si>
  <si>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</si>
  <si>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</si>
  <si>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</si>
  <si>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</si>
  <si>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</si>
  <si>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</si>
  <si>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</si>
  <si>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</si>
  <si>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</si>
  <si>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</si>
  <si>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</si>
  <si>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</si>
  <si>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</si>
  <si>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</si>
  <si>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</si>
  <si>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</si>
  <si>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</si>
  <si>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</si>
  <si>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</si>
  <si>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</si>
  <si>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</si>
  <si>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</si>
  <si>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</si>
  <si>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</si>
  <si>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</si>
  <si>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</si>
  <si>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</si>
  <si>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</si>
  <si>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</si>
  <si>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</si>
  <si>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</si>
  <si>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</si>
  <si>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</si>
  <si>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</si>
  <si>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</si>
  <si>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</si>
  <si>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</si>
  <si>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</si>
  <si>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</si>
  <si>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</si>
  <si>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</si>
  <si>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</si>
  <si>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</si>
  <si>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</si>
  <si>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</si>
  <si>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</si>
  <si>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</si>
  <si>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</si>
  <si>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</si>
  <si>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</si>
  <si>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</si>
  <si>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</si>
  <si>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</si>
  <si>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</si>
  <si>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</si>
  <si>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</si>
  <si>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</si>
  <si>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</si>
  <si>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</si>
  <si>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</si>
  <si>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</si>
  <si>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</si>
  <si>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</si>
  <si>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</si>
  <si>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</si>
  <si>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</si>
  <si>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</si>
  <si>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</si>
  <si>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</si>
  <si>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</si>
  <si>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</si>
  <si>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</si>
  <si>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</si>
  <si>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</si>
  <si>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</si>
  <si>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</si>
  <si>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</si>
  <si>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</si>
  <si>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</si>
  <si>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</si>
  <si>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</si>
  <si>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</si>
  <si>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</si>
  <si>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</si>
  <si>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</si>
  <si>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</si>
  <si>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</si>
  <si>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</si>
  <si>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</si>
  <si>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</si>
  <si>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</si>
  <si>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</si>
  <si>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</si>
  <si>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</si>
  <si>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</si>
  <si>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</si>
  <si>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</si>
  <si>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</si>
  <si>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</si>
  <si>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</si>
  <si>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</si>
  <si>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</si>
  <si>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</si>
  <si>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</si>
  <si>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</si>
  <si>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</si>
  <si>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</si>
  <si>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</si>
  <si>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</si>
  <si>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</si>
  <si>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</si>
  <si>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</si>
  <si>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</si>
  <si>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</si>
  <si>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</si>
  <si>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</si>
  <si>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</si>
  <si>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</si>
  <si>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</si>
  <si>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</si>
  <si>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</si>
  <si>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</si>
  <si>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</si>
  <si>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</si>
  <si>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</si>
  <si>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</si>
  <si>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</si>
  <si>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</si>
  <si>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</si>
  <si>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</si>
  <si>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</si>
  <si>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</si>
  <si>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</si>
  <si>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</si>
  <si>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</si>
  <si>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</si>
  <si>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</si>
  <si>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</si>
  <si>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</si>
  <si>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</si>
  <si>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</si>
  <si>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</si>
  <si>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</si>
  <si>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</si>
  <si>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</si>
  <si>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</si>
  <si>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</si>
  <si>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</si>
  <si>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</si>
  <si>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</si>
  <si>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</si>
  <si>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</si>
  <si>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</si>
  <si>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</si>
  <si>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</si>
  <si>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</si>
  <si>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</si>
  <si>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</si>
  <si>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</si>
  <si>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</si>
  <si>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</si>
  <si>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</si>
  <si>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</si>
  <si>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</si>
  <si>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</si>
  <si>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</si>
  <si>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</si>
  <si>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</si>
  <si>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</si>
  <si>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</si>
  <si>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</si>
  <si>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</si>
  <si>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</si>
  <si>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</si>
  <si>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</si>
  <si>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</si>
  <si>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</si>
  <si>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</si>
  <si>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</si>
  <si>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</si>
  <si>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</si>
  <si>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</si>
  <si>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</si>
  <si>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</si>
  <si>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</si>
  <si>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</si>
  <si>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</si>
  <si>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</si>
  <si>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</si>
  <si>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</si>
  <si>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</si>
  <si>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</si>
  <si>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</si>
  <si>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</si>
  <si>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</si>
  <si>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</si>
  <si>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</si>
  <si>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</si>
  <si>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</si>
  <si>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</si>
  <si>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</si>
  <si>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</si>
  <si>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</si>
  <si>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</si>
  <si>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</si>
  <si>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</si>
  <si>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</si>
  <si>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</si>
  <si>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</si>
  <si>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</si>
  <si>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</si>
  <si>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</si>
  <si>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</si>
  <si>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</si>
  <si>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</si>
  <si>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</si>
  <si>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</si>
  <si>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</si>
  <si>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</si>
  <si>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</si>
  <si>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</si>
  <si>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</si>
  <si>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</si>
  <si>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</si>
  <si>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</si>
  <si>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</si>
  <si>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</si>
  <si>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</si>
  <si>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</si>
  <si>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</si>
  <si>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</si>
  <si>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</si>
  <si>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</si>
  <si>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</si>
  <si>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</si>
  <si>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</si>
  <si>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</si>
  <si>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</si>
  <si>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</si>
  <si>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</si>
  <si>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</si>
  <si>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</si>
  <si>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</si>
  <si>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</si>
  <si>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</si>
  <si>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</si>
  <si>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</si>
  <si>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</si>
  <si>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</si>
  <si>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</si>
  <si>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</si>
  <si>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</si>
  <si>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</si>
  <si>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</si>
  <si>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</si>
  <si>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</si>
  <si>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</si>
  <si>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</si>
  <si>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1 hr for rosster, on Thur(6/11) Onny had no break</t>
  </si>
  <si>
    <t>1 hr for roster, on Sat (1/11) onny had no break</t>
  </si>
  <si>
    <t>On wed(29/10) Oliva F had no break</t>
  </si>
  <si>
    <t>Yue: 12:47-15:00</t>
  </si>
  <si>
    <t>Wed:12:30-15:08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</si>
</sst>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0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</font>
    <font>
      <sz val="18"/>
      <color rgb="FF000000"/>
      <name val="&quot;Helvetica Neue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left" wrapText="1"/>
      <protection locked="0"/>
    </xf>
    <xf numFmtId="0" fontId="39" fillId="0" borderId="0" xfId="0" applyFont="1" applyAlignment="1" applyProtection="1">
      <alignment horizontal="left" wrapText="1"/>
      <protection locked="0"/>
    </xf>
    <xf numFmtId="0" fontId="22" fillId="0" borderId="0" xfId="0" applyFont="1" applyProtection="1"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58" zoomScaleNormal="60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AD4" sqref="AD4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10028</v>
      </c>
      <c r="B2" s="81" t="s">
        <v>1300</v>
      </c>
      <c r="C2" s="98" t="s">
        <v>382</v>
      </c>
      <c r="D2" s="84">
        <v>0.41666666666666669</v>
      </c>
      <c r="E2" s="85">
        <v>0.5625</v>
      </c>
      <c r="F2" s="92">
        <f>BA2-BB2</f>
        <v>3.4999999999999996</v>
      </c>
      <c r="G2" s="85">
        <v>0.44791666666666669</v>
      </c>
      <c r="H2" s="85">
        <v>0.66666666666666663</v>
      </c>
      <c r="I2" s="92">
        <f>BF2-BG2</f>
        <v>5.2499999999999982</v>
      </c>
      <c r="J2" s="85"/>
      <c r="K2" s="85"/>
      <c r="L2" s="92">
        <f>BK2-BL2</f>
        <v>0</v>
      </c>
      <c r="M2" s="85"/>
      <c r="N2" s="84"/>
      <c r="O2" s="92">
        <f>BP2-BQ2</f>
        <v>0</v>
      </c>
      <c r="P2" s="84"/>
      <c r="Q2" s="85"/>
      <c r="R2" s="92">
        <f>BU2-BV2</f>
        <v>0</v>
      </c>
      <c r="S2" s="85">
        <v>0.44791666666666669</v>
      </c>
      <c r="T2" s="85">
        <v>0.68402777777777779</v>
      </c>
      <c r="U2" s="92">
        <f>BZ2-CA2</f>
        <v>5.1666666666666661</v>
      </c>
      <c r="V2" s="85"/>
      <c r="W2" s="85"/>
      <c r="X2" s="92">
        <f>CE2-CF2</f>
        <v>0</v>
      </c>
      <c r="Y2" s="92"/>
      <c r="Z2" s="92"/>
      <c r="AA2" s="92"/>
      <c r="AB2" s="92">
        <f>SUM(F2,I2,L2,O2,R2,U2,X2)</f>
        <v>13.916666666666664</v>
      </c>
      <c r="AC2" s="93"/>
      <c r="AD2" s="78">
        <v>-4.33</v>
      </c>
      <c r="AE2" s="94">
        <f t="shared" ref="AE2:AE40" si="1">SUMIF($BC$1:$CI$1,AE$1,$BC2:$CI2)+AD2</f>
        <v>4.4199999999999982</v>
      </c>
      <c r="AF2" s="77">
        <v>0.5</v>
      </c>
      <c r="AG2" s="94">
        <f t="shared" ref="AG2:AG40" si="2">SUMIF($BC$1:$CI$1,AG$1,$BC2:$CI2)+AF2</f>
        <v>5.6666666666666661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3</v>
      </c>
      <c r="AQ2" s="77"/>
      <c r="AR2" s="77"/>
      <c r="AS2" s="77"/>
      <c r="AT2" s="44">
        <f>AE2+AG2+AI2+AK2+AM2+AO2+SUM(AQ2:AS2)</f>
        <v>10.086666666666664</v>
      </c>
      <c r="AU2" s="78" t="s">
        <v>1411</v>
      </c>
      <c r="AV2" s="5"/>
      <c r="AW2" s="5"/>
      <c r="AX2" s="5"/>
      <c r="AY2" s="5"/>
      <c r="AZ2" s="24">
        <f>VLOOKUP(C2,Employees!D:I,6,FALSE)</f>
        <v>10028</v>
      </c>
      <c r="BA2" s="5">
        <f>IF(ISBLANK(D2),0,(E2-D2)*24)</f>
        <v>3.4999999999999996</v>
      </c>
      <c r="BB2" s="5">
        <f>IF(BA2&gt;$AY$1,1,IF(BA2&gt;=$AX$1,0.5,0))</f>
        <v>0</v>
      </c>
      <c r="BC2" s="5">
        <f>BA2-BB2-BD2-BE2</f>
        <v>3.4999999999999996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5.2499999999999982</v>
      </c>
      <c r="BG2" s="5">
        <f>IF(BF2&gt;$AY$1,1,IF(BF2&gt;=$AX$1,0.5,0))</f>
        <v>0</v>
      </c>
      <c r="BH2" s="5">
        <f>BF2-BG2-BI2-BJ2</f>
        <v>5.2499999999999982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5.6666666666666661</v>
      </c>
      <c r="CA2" s="5">
        <f>IF(BZ2&gt;$AY$1,1,IF(BZ2&gt;=$AX$1,0.5,0))</f>
        <v>0.5</v>
      </c>
      <c r="CB2" s="5">
        <f>BZ2-CA2-CC2-CD2</f>
        <v>5.1666666666666661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3</v>
      </c>
    </row>
    <row r="3" spans="1:89" ht="38" customHeight="1">
      <c r="A3" s="74">
        <f t="shared" si="0"/>
        <v>210471</v>
      </c>
      <c r="B3" s="81" t="s">
        <v>1300</v>
      </c>
      <c r="C3" s="97" t="s">
        <v>1285</v>
      </c>
      <c r="D3" s="84">
        <v>0.64583333333333337</v>
      </c>
      <c r="E3" s="85">
        <v>0.8520833333333333</v>
      </c>
      <c r="F3" s="92">
        <f t="shared" ref="F3:F69" si="15">BA3-BB3</f>
        <v>4.9499999999999984</v>
      </c>
      <c r="G3" s="85">
        <v>0.66666666666666663</v>
      </c>
      <c r="H3" s="85">
        <v>0.84930555555555554</v>
      </c>
      <c r="I3" s="92">
        <f t="shared" ref="I3:I69" si="16">BF3-BG3</f>
        <v>4.3833333333333337</v>
      </c>
      <c r="J3" s="85"/>
      <c r="K3" s="85"/>
      <c r="L3" s="92">
        <f t="shared" ref="L3:L69" si="17">BK3-BL3</f>
        <v>0</v>
      </c>
      <c r="M3" s="85"/>
      <c r="N3" s="84"/>
      <c r="O3" s="92">
        <f t="shared" ref="O3:O69" si="18">BP3-BQ3</f>
        <v>0</v>
      </c>
      <c r="P3" s="84"/>
      <c r="Q3" s="85"/>
      <c r="R3" s="92">
        <f t="shared" ref="R3:R69" si="19">BU3-BV3</f>
        <v>0</v>
      </c>
      <c r="S3" s="85"/>
      <c r="T3" s="85"/>
      <c r="U3" s="92">
        <f t="shared" ref="U3:U69" si="20">BZ3-CA3</f>
        <v>0</v>
      </c>
      <c r="V3" s="85"/>
      <c r="W3" s="85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9.3333333333333321</v>
      </c>
      <c r="AC3" s="93"/>
      <c r="AD3" s="78"/>
      <c r="AE3" s="94">
        <f t="shared" si="1"/>
        <v>9.3333333333333321</v>
      </c>
      <c r="AF3" s="77"/>
      <c r="AG3" s="94">
        <f t="shared" si="2"/>
        <v>0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2</v>
      </c>
      <c r="AQ3" s="77"/>
      <c r="AR3" s="77"/>
      <c r="AS3" s="77"/>
      <c r="AT3" s="44">
        <f t="shared" ref="AT3:AT69" si="24">AE3+AG3+AI3+AK3+AM3+AO3+SUM(AQ3:AS3)</f>
        <v>9.3333333333333321</v>
      </c>
      <c r="AU3" s="78"/>
      <c r="AV3" s="5"/>
      <c r="AW3" s="5"/>
      <c r="AX3" s="5"/>
      <c r="AY3" s="5"/>
      <c r="AZ3" s="24">
        <f>VLOOKUP(C3,Employees!D:I,6,FALSE)</f>
        <v>210471</v>
      </c>
      <c r="BA3" s="5">
        <f t="shared" ref="BA3:BA66" si="25">IF(ISBLANK(D3),0,(E3-D3)*24)</f>
        <v>4.9499999999999984</v>
      </c>
      <c r="BB3" s="5">
        <f t="shared" ref="BB3:BB66" si="26">IF(BA3&gt;$AY$1,1,IF(BA3&gt;=$AX$1,0.5,0))</f>
        <v>0</v>
      </c>
      <c r="BC3" s="5">
        <f t="shared" ref="BC3:BC66" si="27">BA3-BB3-BD3-BE3</f>
        <v>4.9499999999999984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4.3833333333333337</v>
      </c>
      <c r="BG3" s="5">
        <f t="shared" ref="BG3:BG66" si="30">IF(BF3&gt;$AY$1,1,IF(BF3&gt;=$AX$1,0.5,0))</f>
        <v>0</v>
      </c>
      <c r="BH3" s="5">
        <f t="shared" ref="BH3:BH66" si="31">BF3-BG3-BI3-BJ3</f>
        <v>4.3833333333333337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4">
        <f t="shared" si="0"/>
        <v>210510</v>
      </c>
      <c r="B4" s="81" t="s">
        <v>1300</v>
      </c>
      <c r="C4" s="97" t="s">
        <v>1395</v>
      </c>
      <c r="D4" s="85">
        <v>0.4236111111111111</v>
      </c>
      <c r="E4" s="85">
        <v>0.66666666666666663</v>
      </c>
      <c r="F4" s="92">
        <f t="shared" si="15"/>
        <v>5.3333333333333321</v>
      </c>
      <c r="G4" s="85"/>
      <c r="H4" s="85"/>
      <c r="I4" s="92">
        <f t="shared" si="16"/>
        <v>0</v>
      </c>
      <c r="J4" s="85">
        <v>0.44791666666666669</v>
      </c>
      <c r="K4" s="85">
        <v>0.625</v>
      </c>
      <c r="L4" s="92">
        <f t="shared" si="17"/>
        <v>4.25</v>
      </c>
      <c r="M4" s="85">
        <v>0.41666666666666669</v>
      </c>
      <c r="N4" s="85">
        <v>0.67013888888888884</v>
      </c>
      <c r="O4" s="92">
        <f t="shared" si="18"/>
        <v>5.5833333333333321</v>
      </c>
      <c r="P4" s="85"/>
      <c r="Q4" s="85"/>
      <c r="R4" s="92">
        <f t="shared" si="19"/>
        <v>0</v>
      </c>
      <c r="S4" s="85"/>
      <c r="T4" s="85"/>
      <c r="U4" s="92">
        <f t="shared" si="20"/>
        <v>0</v>
      </c>
      <c r="V4" s="85"/>
      <c r="W4" s="85"/>
      <c r="X4" s="92">
        <f t="shared" si="21"/>
        <v>0</v>
      </c>
      <c r="Y4" s="92"/>
      <c r="Z4" s="92"/>
      <c r="AA4" s="92"/>
      <c r="AB4" s="92">
        <f t="shared" si="22"/>
        <v>15.166666666666664</v>
      </c>
      <c r="AC4" s="93"/>
      <c r="AD4" s="78"/>
      <c r="AE4" s="94">
        <f t="shared" si="1"/>
        <v>15.166666666666664</v>
      </c>
      <c r="AF4" s="77"/>
      <c r="AG4" s="94">
        <f t="shared" si="2"/>
        <v>0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3</v>
      </c>
      <c r="AQ4" s="77"/>
      <c r="AR4" s="77"/>
      <c r="AS4" s="77"/>
      <c r="AT4" s="44">
        <f t="shared" si="24"/>
        <v>15.166666666666664</v>
      </c>
      <c r="AU4" s="78"/>
      <c r="AV4" s="5"/>
      <c r="AW4" s="5"/>
      <c r="AX4" s="5"/>
      <c r="AY4" s="5"/>
      <c r="AZ4" s="24">
        <f>VLOOKUP(C4,Employees!D:I,6,FALSE)</f>
        <v>210510</v>
      </c>
      <c r="BA4" s="5">
        <f t="shared" si="25"/>
        <v>5.8333333333333321</v>
      </c>
      <c r="BB4" s="5">
        <f t="shared" si="26"/>
        <v>0.5</v>
      </c>
      <c r="BC4" s="5">
        <f t="shared" si="27"/>
        <v>5.3333333333333321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4.25</v>
      </c>
      <c r="BL4" s="5">
        <f t="shared" si="35"/>
        <v>0</v>
      </c>
      <c r="BM4" s="5">
        <f t="shared" si="36"/>
        <v>4.25</v>
      </c>
      <c r="BN4" s="5">
        <f t="shared" si="37"/>
        <v>0</v>
      </c>
      <c r="BO4" s="5">
        <f t="shared" si="38"/>
        <v>0</v>
      </c>
      <c r="BP4" s="5">
        <f t="shared" si="39"/>
        <v>6.0833333333333321</v>
      </c>
      <c r="BQ4" s="5">
        <f t="shared" si="40"/>
        <v>0.5</v>
      </c>
      <c r="BR4" s="5">
        <f t="shared" si="41"/>
        <v>5.5833333333333321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4">
        <f t="shared" si="0"/>
        <v>210500</v>
      </c>
      <c r="B5" s="81" t="s">
        <v>1300</v>
      </c>
      <c r="C5" s="97" t="s">
        <v>1371</v>
      </c>
      <c r="D5" s="85"/>
      <c r="E5" s="85"/>
      <c r="F5" s="92">
        <f t="shared" si="15"/>
        <v>0</v>
      </c>
      <c r="G5" s="85"/>
      <c r="H5" s="85"/>
      <c r="I5" s="92">
        <f t="shared" si="16"/>
        <v>0</v>
      </c>
      <c r="J5" s="85"/>
      <c r="K5" s="85"/>
      <c r="L5" s="92">
        <f t="shared" si="17"/>
        <v>0</v>
      </c>
      <c r="M5" s="85"/>
      <c r="N5" s="85"/>
      <c r="O5" s="92">
        <f t="shared" si="18"/>
        <v>0</v>
      </c>
      <c r="P5" s="84">
        <v>0.44791666666666669</v>
      </c>
      <c r="Q5" s="85">
        <v>0.66666666666666663</v>
      </c>
      <c r="R5" s="92">
        <f t="shared" si="19"/>
        <v>5.2499999999999982</v>
      </c>
      <c r="S5" s="85"/>
      <c r="T5" s="85"/>
      <c r="U5" s="92">
        <f t="shared" si="20"/>
        <v>0</v>
      </c>
      <c r="V5" s="85"/>
      <c r="W5" s="85"/>
      <c r="X5" s="92">
        <f t="shared" si="21"/>
        <v>0</v>
      </c>
      <c r="Y5" s="92"/>
      <c r="Z5" s="92"/>
      <c r="AA5" s="92"/>
      <c r="AB5" s="92">
        <f t="shared" si="22"/>
        <v>5.2499999999999982</v>
      </c>
      <c r="AC5" s="93"/>
      <c r="AD5" s="78"/>
      <c r="AE5" s="94">
        <f t="shared" si="1"/>
        <v>5.2499999999999982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1</v>
      </c>
      <c r="AQ5" s="77"/>
      <c r="AR5" s="77"/>
      <c r="AS5" s="77"/>
      <c r="AT5" s="44">
        <f t="shared" si="24"/>
        <v>5.2499999999999982</v>
      </c>
      <c r="AU5" s="78"/>
      <c r="AV5" s="5"/>
      <c r="AW5" s="5"/>
      <c r="AX5" s="5"/>
      <c r="AY5" s="5"/>
      <c r="AZ5" s="24">
        <f>VLOOKUP(C5,Employees!D:I,6,FALSE)</f>
        <v>210500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5.2499999999999982</v>
      </c>
      <c r="BV5" s="5">
        <f t="shared" si="45"/>
        <v>0</v>
      </c>
      <c r="BW5" s="5">
        <f t="shared" si="46"/>
        <v>5.2499999999999982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210509</v>
      </c>
      <c r="B6" s="81" t="s">
        <v>1300</v>
      </c>
      <c r="C6" s="97" t="s">
        <v>1394</v>
      </c>
      <c r="D6" s="85"/>
      <c r="E6" s="85"/>
      <c r="F6" s="92">
        <f t="shared" si="15"/>
        <v>0</v>
      </c>
      <c r="G6" s="85"/>
      <c r="H6" s="85"/>
      <c r="I6" s="92">
        <f t="shared" si="16"/>
        <v>0</v>
      </c>
      <c r="J6" s="85">
        <v>0.625</v>
      </c>
      <c r="K6" s="85">
        <v>0.85416666666666663</v>
      </c>
      <c r="L6" s="92">
        <f t="shared" si="17"/>
        <v>4.9999999999999991</v>
      </c>
      <c r="M6" s="85">
        <v>0.52083333333333337</v>
      </c>
      <c r="N6" s="85">
        <v>0.85416666666666663</v>
      </c>
      <c r="O6" s="92">
        <f t="shared" si="18"/>
        <v>7.4999999999999982</v>
      </c>
      <c r="P6" s="85">
        <v>0.625</v>
      </c>
      <c r="Q6" s="85">
        <v>0.85416666666666663</v>
      </c>
      <c r="R6" s="92">
        <f t="shared" si="19"/>
        <v>4.9999999999999991</v>
      </c>
      <c r="S6" s="85"/>
      <c r="T6" s="85"/>
      <c r="U6" s="92">
        <f t="shared" si="20"/>
        <v>0</v>
      </c>
      <c r="V6" s="85"/>
      <c r="W6" s="85"/>
      <c r="X6" s="92">
        <f t="shared" si="21"/>
        <v>0</v>
      </c>
      <c r="Y6" s="92"/>
      <c r="Z6" s="92"/>
      <c r="AA6" s="92"/>
      <c r="AB6" s="92">
        <f t="shared" si="22"/>
        <v>17.499999999999996</v>
      </c>
      <c r="AC6" s="93"/>
      <c r="AD6" s="78">
        <v>0.5</v>
      </c>
      <c r="AE6" s="94">
        <f t="shared" si="1"/>
        <v>17.999999999999996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3</v>
      </c>
      <c r="AQ6" s="77"/>
      <c r="AR6" s="77"/>
      <c r="AS6" s="77"/>
      <c r="AT6" s="44">
        <f t="shared" si="24"/>
        <v>17.999999999999996</v>
      </c>
      <c r="AU6" s="78" t="s">
        <v>1412</v>
      </c>
      <c r="AV6" s="5"/>
      <c r="AW6" s="5"/>
      <c r="AX6" s="5"/>
      <c r="AY6" s="5"/>
      <c r="AZ6" s="24">
        <f>VLOOKUP(C6,Employees!D:I,6,FALSE)</f>
        <v>210509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5.4999999999999991</v>
      </c>
      <c r="BL6" s="5">
        <f t="shared" si="35"/>
        <v>0.5</v>
      </c>
      <c r="BM6" s="5">
        <f t="shared" si="36"/>
        <v>4.9999999999999991</v>
      </c>
      <c r="BN6" s="5">
        <f t="shared" si="37"/>
        <v>0</v>
      </c>
      <c r="BO6" s="5">
        <f t="shared" si="38"/>
        <v>0</v>
      </c>
      <c r="BP6" s="5">
        <f t="shared" si="39"/>
        <v>7.9999999999999982</v>
      </c>
      <c r="BQ6" s="5">
        <f t="shared" si="40"/>
        <v>0.5</v>
      </c>
      <c r="BR6" s="5">
        <f t="shared" si="41"/>
        <v>7.4999999999999982</v>
      </c>
      <c r="BS6" s="5">
        <f t="shared" si="42"/>
        <v>0</v>
      </c>
      <c r="BT6" s="5">
        <f t="shared" si="43"/>
        <v>0</v>
      </c>
      <c r="BU6" s="5">
        <f t="shared" si="44"/>
        <v>5.4999999999999991</v>
      </c>
      <c r="BV6" s="5">
        <f t="shared" si="45"/>
        <v>0.5</v>
      </c>
      <c r="BW6" s="5">
        <f t="shared" si="46"/>
        <v>4.9999999999999991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210499</v>
      </c>
      <c r="B7" s="81" t="s">
        <v>1300</v>
      </c>
      <c r="C7" s="99" t="s">
        <v>1364</v>
      </c>
      <c r="D7" s="84"/>
      <c r="E7" s="85"/>
      <c r="F7" s="92">
        <f t="shared" si="15"/>
        <v>0</v>
      </c>
      <c r="G7" s="85"/>
      <c r="H7" s="85"/>
      <c r="I7" s="92">
        <f t="shared" si="16"/>
        <v>0</v>
      </c>
      <c r="J7" s="85"/>
      <c r="K7" s="85"/>
      <c r="L7" s="92">
        <f t="shared" si="17"/>
        <v>0</v>
      </c>
      <c r="M7" s="84"/>
      <c r="N7" s="85"/>
      <c r="O7" s="92">
        <f t="shared" si="18"/>
        <v>0</v>
      </c>
      <c r="P7" s="84"/>
      <c r="Q7" s="85"/>
      <c r="R7" s="92">
        <f t="shared" si="19"/>
        <v>0</v>
      </c>
      <c r="S7" s="84"/>
      <c r="T7" s="85"/>
      <c r="U7" s="92">
        <f t="shared" si="20"/>
        <v>0</v>
      </c>
      <c r="V7" s="85"/>
      <c r="W7" s="85"/>
      <c r="X7" s="92">
        <f t="shared" si="21"/>
        <v>0</v>
      </c>
      <c r="Y7" s="92"/>
      <c r="Z7" s="92"/>
      <c r="AA7" s="92"/>
      <c r="AB7" s="92">
        <f t="shared" si="22"/>
        <v>0</v>
      </c>
      <c r="AC7" s="93"/>
      <c r="AD7" s="78">
        <v>2.2200000000000002</v>
      </c>
      <c r="AE7" s="94">
        <f t="shared" si="1"/>
        <v>2.2200000000000002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0</v>
      </c>
      <c r="AQ7" s="77"/>
      <c r="AR7" s="77"/>
      <c r="AS7" s="77"/>
      <c r="AT7" s="44">
        <f t="shared" si="24"/>
        <v>2.2200000000000002</v>
      </c>
      <c r="AU7" s="78" t="s">
        <v>1413</v>
      </c>
      <c r="AV7" s="5"/>
      <c r="AW7" s="5"/>
      <c r="AX7" s="5"/>
      <c r="AY7" s="5"/>
      <c r="AZ7" s="24">
        <f>VLOOKUP(C7,Employees!D:I,6,FALSE)</f>
        <v>210499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 t="str">
        <f t="shared" si="0"/>
        <v/>
      </c>
      <c r="B8" s="81"/>
      <c r="C8" s="86"/>
      <c r="D8" s="84"/>
      <c r="E8" s="85"/>
      <c r="F8" s="92">
        <f t="shared" si="15"/>
        <v>0</v>
      </c>
      <c r="G8" s="85"/>
      <c r="H8" s="85"/>
      <c r="I8" s="92">
        <f t="shared" si="16"/>
        <v>0</v>
      </c>
      <c r="J8" s="84"/>
      <c r="K8" s="85"/>
      <c r="L8" s="92">
        <f t="shared" si="17"/>
        <v>0</v>
      </c>
      <c r="M8" s="85"/>
      <c r="N8" s="85"/>
      <c r="O8" s="92">
        <f t="shared" si="18"/>
        <v>0</v>
      </c>
      <c r="P8" s="84"/>
      <c r="Q8" s="85"/>
      <c r="R8" s="92">
        <f t="shared" si="19"/>
        <v>0</v>
      </c>
      <c r="S8" s="84"/>
      <c r="T8" s="85"/>
      <c r="U8" s="92">
        <f t="shared" si="20"/>
        <v>0</v>
      </c>
      <c r="V8" s="85"/>
      <c r="W8" s="8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81"/>
      <c r="C9" s="86"/>
      <c r="D9" s="85"/>
      <c r="E9" s="85"/>
      <c r="F9" s="92">
        <f t="shared" si="15"/>
        <v>0</v>
      </c>
      <c r="G9" s="85"/>
      <c r="H9" s="85"/>
      <c r="I9" s="92">
        <f t="shared" si="16"/>
        <v>0</v>
      </c>
      <c r="J9" s="85"/>
      <c r="K9" s="85"/>
      <c r="L9" s="92">
        <f t="shared" si="17"/>
        <v>0</v>
      </c>
      <c r="M9" s="84"/>
      <c r="N9" s="85"/>
      <c r="O9" s="92">
        <f t="shared" si="18"/>
        <v>0</v>
      </c>
      <c r="P9" s="85"/>
      <c r="Q9" s="85"/>
      <c r="R9" s="92">
        <f t="shared" si="19"/>
        <v>0</v>
      </c>
      <c r="S9" s="84"/>
      <c r="T9" s="85"/>
      <c r="U9" s="92">
        <f t="shared" si="20"/>
        <v>0</v>
      </c>
      <c r="V9" s="85"/>
      <c r="W9" s="8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2">
        <f t="shared" si="15"/>
        <v>0</v>
      </c>
      <c r="G10" s="85"/>
      <c r="H10" s="85"/>
      <c r="I10" s="92">
        <f t="shared" si="16"/>
        <v>0</v>
      </c>
      <c r="J10" s="84"/>
      <c r="K10" s="85"/>
      <c r="L10" s="92">
        <f t="shared" si="17"/>
        <v>0</v>
      </c>
      <c r="M10" s="85"/>
      <c r="N10" s="85"/>
      <c r="O10" s="92">
        <f t="shared" si="18"/>
        <v>0</v>
      </c>
      <c r="P10" s="85"/>
      <c r="Q10" s="85"/>
      <c r="R10" s="92">
        <f t="shared" si="19"/>
        <v>0</v>
      </c>
      <c r="S10" s="84"/>
      <c r="T10" s="85"/>
      <c r="U10" s="92">
        <f t="shared" si="20"/>
        <v>0</v>
      </c>
      <c r="V10" s="85"/>
      <c r="W10" s="8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2">
        <f t="shared" si="15"/>
        <v>0</v>
      </c>
      <c r="G11" s="85"/>
      <c r="H11" s="85"/>
      <c r="I11" s="92">
        <f t="shared" si="16"/>
        <v>0</v>
      </c>
      <c r="J11" s="84"/>
      <c r="K11" s="85"/>
      <c r="L11" s="92">
        <f t="shared" si="17"/>
        <v>0</v>
      </c>
      <c r="M11" s="85"/>
      <c r="N11" s="85"/>
      <c r="O11" s="92">
        <f t="shared" si="18"/>
        <v>0</v>
      </c>
      <c r="P11" s="84"/>
      <c r="Q11" s="85"/>
      <c r="R11" s="92">
        <f t="shared" si="19"/>
        <v>0</v>
      </c>
      <c r="S11" s="75"/>
      <c r="T11" s="75"/>
      <c r="U11" s="92">
        <f t="shared" si="20"/>
        <v>0</v>
      </c>
      <c r="V11" s="84"/>
      <c r="W11" s="8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2">
        <f t="shared" si="15"/>
        <v>0</v>
      </c>
      <c r="G12" s="85"/>
      <c r="H12" s="85"/>
      <c r="I12" s="92">
        <f t="shared" si="16"/>
        <v>0</v>
      </c>
      <c r="J12" s="76"/>
      <c r="K12" s="75"/>
      <c r="L12" s="92">
        <f t="shared" si="17"/>
        <v>0</v>
      </c>
      <c r="M12" s="85"/>
      <c r="N12" s="8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5"/>
        <v>0</v>
      </c>
      <c r="G13" s="85"/>
      <c r="H13" s="84"/>
      <c r="I13" s="92">
        <f t="shared" si="16"/>
        <v>0</v>
      </c>
      <c r="J13" s="76"/>
      <c r="K13" s="75"/>
      <c r="L13" s="92">
        <f t="shared" si="17"/>
        <v>0</v>
      </c>
      <c r="M13" s="85"/>
      <c r="N13" s="84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5"/>
        <v>0</v>
      </c>
      <c r="G14" s="85"/>
      <c r="H14" s="85"/>
      <c r="I14" s="92">
        <f t="shared" si="16"/>
        <v>0</v>
      </c>
      <c r="J14" s="76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  <x14:dataValidation type="list" allowBlank="1" showInputMessage="1" showErrorMessage="1" xr:uid="{9D6BDE87-2E5F-EF42-BAC0-65B01E6E8206}">
          <x14:formula1>
            <xm:f>Stores!$A$2:$A$40</xm:f>
          </x14:formula1>
          <xm:sqref>B2:B5 B7:B100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11" sqref="K11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10028</v>
      </c>
      <c r="B2" s="81" t="s">
        <v>1300</v>
      </c>
      <c r="C2" s="98" t="s">
        <v>382</v>
      </c>
      <c r="D2" s="75">
        <v>0.41666666666666669</v>
      </c>
      <c r="E2" s="75">
        <v>0.66319444444444442</v>
      </c>
      <c r="F2" s="92">
        <f>BA2-BB2</f>
        <v>5.4166666666666661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5">
        <v>0.44791666666666669</v>
      </c>
      <c r="N2" s="76">
        <v>0.71875</v>
      </c>
      <c r="O2" s="92">
        <f>BP2-BQ2</f>
        <v>6</v>
      </c>
      <c r="P2" s="75"/>
      <c r="Q2" s="76"/>
      <c r="R2" s="92">
        <f>BU2-BV2</f>
        <v>0</v>
      </c>
      <c r="S2" s="75">
        <v>0.4513888888888889</v>
      </c>
      <c r="T2" s="75">
        <v>0.68055555555555547</v>
      </c>
      <c r="U2" s="92">
        <f>BZ2-CA2</f>
        <v>4.9999999999999982</v>
      </c>
      <c r="V2" s="75"/>
      <c r="W2" s="76"/>
      <c r="X2" s="92">
        <f>CE2-CF2</f>
        <v>0</v>
      </c>
      <c r="Y2" s="92"/>
      <c r="Z2" s="92"/>
      <c r="AA2" s="92"/>
      <c r="AB2" s="96">
        <f>SUM(F2,I2,L2,O2,R2,U2,X2)</f>
        <v>16.416666666666664</v>
      </c>
      <c r="AC2" s="93"/>
      <c r="AD2" s="78">
        <v>1.5</v>
      </c>
      <c r="AE2" s="94">
        <f>SUMIF($BC$1:$CI$1,AE$1,$BC2:$CI2)+AD2</f>
        <v>12.916666666666666</v>
      </c>
      <c r="AF2" s="78"/>
      <c r="AG2" s="94">
        <f>SUMIF($BC$1:$CI$1,AG$1,$BC2:$CI2)+AF2</f>
        <v>4.9999999999999982</v>
      </c>
      <c r="AH2" s="78"/>
      <c r="AI2" s="94">
        <f>SUMIF($BC$1:$CI$1,AI$1,$BC2:$CI2)+AH2</f>
        <v>0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3</v>
      </c>
      <c r="AQ2" s="77"/>
      <c r="AR2" s="77"/>
      <c r="AS2" s="77"/>
      <c r="AT2" s="63">
        <f>AE2+AG2+AI2+AK2+AM2+AO2+SUM(AQ2:AS2)</f>
        <v>17.916666666666664</v>
      </c>
      <c r="AU2" s="78" t="s">
        <v>1410</v>
      </c>
      <c r="AV2" s="5"/>
      <c r="AW2" s="5"/>
      <c r="AX2" s="5"/>
      <c r="AY2" s="5"/>
      <c r="AZ2" s="24">
        <f>VLOOKUP(C2,Employees!D:I,6,FALSE)</f>
        <v>10028</v>
      </c>
      <c r="BA2" s="5">
        <f>IF(ISBLANK(D2),0,(E2-D2)*24)</f>
        <v>5.9166666666666661</v>
      </c>
      <c r="BB2" s="5">
        <f>IF(BA2&gt;$AY$1,1,IF(BA2&gt;=$AX$1,0.5,0))</f>
        <v>0.5</v>
      </c>
      <c r="BC2" s="5">
        <f>BA2-BB2-BD2-BE2</f>
        <v>5.4166666666666661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6.5</v>
      </c>
      <c r="BQ2" s="5">
        <f>IF(BP2&gt;$AY$1,1,IF(BP2&gt;=$AX$1,0.5,0))</f>
        <v>0.5</v>
      </c>
      <c r="BR2" s="5">
        <f>BP2-BQ2-BS2-BT2</f>
        <v>6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5.4999999999999982</v>
      </c>
      <c r="CA2" s="5">
        <f>IF(BZ2&gt;$AY$1,1,IF(BZ2&gt;=$AX$1,0.5,0))</f>
        <v>0.5</v>
      </c>
      <c r="CB2" s="5">
        <f>BZ2-CA2-CC2-CD2</f>
        <v>4.9999999999999982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74">
        <f t="shared" si="0"/>
        <v>210471</v>
      </c>
      <c r="B3" s="81" t="s">
        <v>1300</v>
      </c>
      <c r="C3" s="97" t="s">
        <v>1285</v>
      </c>
      <c r="D3" s="75">
        <v>0.64583333333333337</v>
      </c>
      <c r="E3" s="75">
        <v>0.85416666666666663</v>
      </c>
      <c r="F3" s="92">
        <f t="shared" ref="F3:F74" si="9">BA3-BB3</f>
        <v>4.9999999999999982</v>
      </c>
      <c r="G3" s="75">
        <v>0.64583333333333337</v>
      </c>
      <c r="H3" s="75">
        <v>0.85138888888888886</v>
      </c>
      <c r="I3" s="92">
        <f t="shared" ref="I3:I74" si="10">BF3-BG3</f>
        <v>4.9333333333333318</v>
      </c>
      <c r="J3" s="75">
        <v>0.44791666666666669</v>
      </c>
      <c r="K3" s="75">
        <v>0.64583333333333337</v>
      </c>
      <c r="L3" s="92">
        <f t="shared" ref="L3:L74" si="11">BK3-BL3</f>
        <v>4.75</v>
      </c>
      <c r="M3" s="76">
        <v>0.70833333333333337</v>
      </c>
      <c r="N3" s="76">
        <v>0.85416666666666663</v>
      </c>
      <c r="O3" s="92">
        <f t="shared" ref="O3:O74" si="12">BP3-BQ3</f>
        <v>3.4999999999999982</v>
      </c>
      <c r="P3" s="85">
        <v>0.52083333333333337</v>
      </c>
      <c r="Q3" s="85">
        <v>0.66666666666666663</v>
      </c>
      <c r="R3" s="92">
        <f t="shared" ref="R3:R74" si="13">BU3-BV3</f>
        <v>3.4999999999999982</v>
      </c>
      <c r="S3" s="85"/>
      <c r="T3" s="85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21.68333333333333</v>
      </c>
      <c r="AC3" s="93"/>
      <c r="AD3" s="78"/>
      <c r="AE3" s="94">
        <f t="shared" ref="AE3:AE74" si="17">SUMIF($BC$1:$CI$1,AE$1,$BC3:$CI3)+AD3</f>
        <v>21.68333333333333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5</v>
      </c>
      <c r="AQ3" s="77"/>
      <c r="AR3" s="77"/>
      <c r="AS3" s="77"/>
      <c r="AT3" s="63">
        <f t="shared" ref="AT3:AT74" si="24">AE3+AG3+AI3+AK3+AM3+AO3+SUM(AQ3:AS3)</f>
        <v>21.68333333333333</v>
      </c>
      <c r="AU3" s="78"/>
      <c r="AV3" s="5"/>
      <c r="AW3" s="5"/>
      <c r="AX3" s="5"/>
      <c r="AY3" s="5"/>
      <c r="AZ3" s="24">
        <f>VLOOKUP(C3,Employees!D:I,6,FALSE)</f>
        <v>210471</v>
      </c>
      <c r="BA3" s="5">
        <f t="shared" ref="BA3:BA66" si="25">IF(ISBLANK(D3),0,(E3-D3)*24)</f>
        <v>4.9999999999999982</v>
      </c>
      <c r="BB3" s="5">
        <f t="shared" ref="BB3:BB66" si="26">IF(BA3&gt;$AY$1,1,IF(BA3&gt;=$AX$1,0.5,0))</f>
        <v>0</v>
      </c>
      <c r="BC3" s="5">
        <f t="shared" ref="BC3:BC66" si="27">BA3-BB3-BD3-BE3</f>
        <v>4.9999999999999982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4.9333333333333318</v>
      </c>
      <c r="BG3" s="5">
        <f t="shared" ref="BG3:BG66" si="31">IF(BF3&gt;$AY$1,1,IF(BF3&gt;=$AX$1,0.5,0))</f>
        <v>0</v>
      </c>
      <c r="BH3" s="5">
        <f t="shared" ref="BH3:BH66" si="32">BF3-BG3-BI3-BJ3</f>
        <v>4.9333333333333318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4.75</v>
      </c>
      <c r="BL3" s="5">
        <f t="shared" ref="BL3:BL66" si="36">IF(BK3&gt;$AY$1,1,IF(BK3&gt;=$AX$1,0.5,0))</f>
        <v>0</v>
      </c>
      <c r="BM3" s="5">
        <f t="shared" ref="BM3:BM66" si="37">BK3-BL3-BN3-BO3</f>
        <v>4.75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3.4999999999999982</v>
      </c>
      <c r="BQ3" s="5">
        <f t="shared" ref="BQ3:BQ66" si="41">IF(BP3&gt;$AY$1,1,IF(BP3&gt;=$AX$1,0.5,0))</f>
        <v>0</v>
      </c>
      <c r="BR3" s="5">
        <f t="shared" ref="BR3:BR66" si="42">BP3-BQ3-BS3-BT3</f>
        <v>3.4999999999999982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3.4999999999999982</v>
      </c>
      <c r="BV3" s="5">
        <f t="shared" ref="BV3:BV66" si="46">IF(BU3&gt;$AY$1,1,IF(BU3&gt;=$AX$1,0.5,0))</f>
        <v>0</v>
      </c>
      <c r="BW3" s="5">
        <f t="shared" ref="BW3:BW66" si="47">BU3-BV3-BX3-BY3</f>
        <v>3.4999999999999982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5</v>
      </c>
    </row>
    <row r="4" spans="1:89" ht="47" customHeight="1">
      <c r="A4" s="74">
        <f t="shared" si="0"/>
        <v>210510</v>
      </c>
      <c r="B4" s="81" t="s">
        <v>1300</v>
      </c>
      <c r="C4" s="97" t="s">
        <v>1395</v>
      </c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>
        <v>0.41666666666666669</v>
      </c>
      <c r="N4" s="75">
        <v>0.6875</v>
      </c>
      <c r="O4" s="92">
        <f t="shared" si="12"/>
        <v>6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6</v>
      </c>
      <c r="AC4" s="93"/>
      <c r="AD4" s="78"/>
      <c r="AE4" s="94">
        <f t="shared" si="17"/>
        <v>6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1</v>
      </c>
      <c r="AQ4" s="77"/>
      <c r="AR4" s="77"/>
      <c r="AS4" s="77"/>
      <c r="AT4" s="63">
        <f t="shared" si="24"/>
        <v>6</v>
      </c>
      <c r="AU4" s="78"/>
      <c r="AV4" s="5"/>
      <c r="AW4" s="5"/>
      <c r="AX4" s="5"/>
      <c r="AY4" s="5"/>
      <c r="AZ4" s="24">
        <f>VLOOKUP(C4,Employees!D:I,6,FALSE)</f>
        <v>210510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6.5</v>
      </c>
      <c r="BQ4" s="5">
        <f t="shared" si="41"/>
        <v>0.5</v>
      </c>
      <c r="BR4" s="5">
        <f t="shared" si="42"/>
        <v>6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1</v>
      </c>
    </row>
    <row r="5" spans="1:89" ht="47" customHeight="1">
      <c r="A5" s="74">
        <f t="shared" si="0"/>
        <v>210500</v>
      </c>
      <c r="B5" s="81" t="s">
        <v>1300</v>
      </c>
      <c r="C5" s="97" t="s">
        <v>1371</v>
      </c>
      <c r="D5" s="76"/>
      <c r="E5" s="75"/>
      <c r="F5" s="92">
        <f t="shared" si="9"/>
        <v>0</v>
      </c>
      <c r="G5" s="75">
        <v>0.44791666666666669</v>
      </c>
      <c r="H5" s="76">
        <v>0.66666666666666663</v>
      </c>
      <c r="I5" s="92">
        <f t="shared" si="10"/>
        <v>5.2499999999999982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>
        <v>0.44791666666666669</v>
      </c>
      <c r="Q5" s="75">
        <v>0.625</v>
      </c>
      <c r="R5" s="92">
        <f t="shared" si="13"/>
        <v>4.25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9.4999999999999982</v>
      </c>
      <c r="AC5" s="93"/>
      <c r="AD5" s="78"/>
      <c r="AE5" s="94">
        <f t="shared" si="17"/>
        <v>9.4999999999999982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2</v>
      </c>
      <c r="AQ5" s="77"/>
      <c r="AR5" s="77"/>
      <c r="AS5" s="77"/>
      <c r="AT5" s="63">
        <f t="shared" si="24"/>
        <v>9.4999999999999982</v>
      </c>
      <c r="AU5" s="78"/>
      <c r="AV5" s="5"/>
      <c r="AW5" s="5"/>
      <c r="AX5" s="5"/>
      <c r="AY5" s="5"/>
      <c r="AZ5" s="24">
        <f>VLOOKUP(C5,Employees!D:I,6,FALSE)</f>
        <v>210500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5.2499999999999982</v>
      </c>
      <c r="BG5" s="5">
        <f t="shared" si="31"/>
        <v>0</v>
      </c>
      <c r="BH5" s="5">
        <f t="shared" si="32"/>
        <v>5.2499999999999982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4.25</v>
      </c>
      <c r="BV5" s="5">
        <f t="shared" si="46"/>
        <v>0</v>
      </c>
      <c r="BW5" s="5">
        <f t="shared" si="47"/>
        <v>4.25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210509</v>
      </c>
      <c r="B6" s="81" t="s">
        <v>1300</v>
      </c>
      <c r="C6" s="97" t="s">
        <v>1394</v>
      </c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>
        <v>0.64583333333333337</v>
      </c>
      <c r="K6" s="76">
        <v>0.85416666666666663</v>
      </c>
      <c r="L6" s="92">
        <f t="shared" si="11"/>
        <v>4.9999999999999982</v>
      </c>
      <c r="M6" s="76"/>
      <c r="N6" s="76"/>
      <c r="O6" s="92">
        <f t="shared" si="12"/>
        <v>0</v>
      </c>
      <c r="P6" s="76">
        <v>0.66666666666666663</v>
      </c>
      <c r="Q6" s="75">
        <v>0.85416666666666663</v>
      </c>
      <c r="R6" s="92">
        <f t="shared" si="13"/>
        <v>4.5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9.4999999999999982</v>
      </c>
      <c r="AC6" s="93"/>
      <c r="AD6" s="78"/>
      <c r="AE6" s="94">
        <f t="shared" si="17"/>
        <v>9.4999999999999982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2</v>
      </c>
      <c r="AQ6" s="77"/>
      <c r="AR6" s="77"/>
      <c r="AS6" s="77"/>
      <c r="AT6" s="63">
        <f t="shared" si="24"/>
        <v>9.4999999999999982</v>
      </c>
      <c r="AU6" s="78"/>
      <c r="AV6" s="5"/>
      <c r="AW6" s="5"/>
      <c r="AX6" s="5"/>
      <c r="AY6" s="5"/>
      <c r="AZ6" s="24">
        <f>VLOOKUP(C6,Employees!D:I,6,FALSE)</f>
        <v>210509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4.9999999999999982</v>
      </c>
      <c r="BL6" s="5">
        <f t="shared" si="36"/>
        <v>0</v>
      </c>
      <c r="BM6" s="5">
        <f t="shared" si="37"/>
        <v>4.9999999999999982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4.5</v>
      </c>
      <c r="BV6" s="5">
        <f t="shared" si="46"/>
        <v>0</v>
      </c>
      <c r="BW6" s="5">
        <f t="shared" si="47"/>
        <v>4.5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>
        <f t="shared" si="0"/>
        <v>210499</v>
      </c>
      <c r="B7" s="81" t="s">
        <v>1300</v>
      </c>
      <c r="C7" s="99" t="s">
        <v>1364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5"/>
      <c r="K7" s="75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>
        <v>2.63</v>
      </c>
      <c r="AE7" s="94">
        <f t="shared" si="17"/>
        <v>2.63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2.63</v>
      </c>
      <c r="AU7" s="78" t="s">
        <v>1414</v>
      </c>
      <c r="AV7" s="5"/>
      <c r="AW7" s="5"/>
      <c r="AX7" s="5"/>
      <c r="AY7" s="5"/>
      <c r="AZ7" s="24">
        <f>VLOOKUP(C7,Employees!D:I,6,FALSE)</f>
        <v>210499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6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6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F1" zoomScale="120" zoomScaleNormal="120" workbookViewId="0">
      <selection activeCell="I5" sqref="I5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10028</v>
      </c>
      <c r="B2" s="28">
        <f ca="1">IF(A2=0,"",_xlfn.NUMBERVALUE(A2))</f>
        <v>10028</v>
      </c>
      <c r="C2" s="28" t="str">
        <f ca="1">IF($A2=0,"",VLOOKUP($B2,Employees!$A:$G,2,FALSE))</f>
        <v>Onnida</v>
      </c>
      <c r="D2" s="28" t="str">
        <f ca="1">IF($A2=0,"",VLOOKUP($B2,Employees!$A:$G,3,FALSE))</f>
        <v>Tantinijkun</v>
      </c>
      <c r="E2" s="26">
        <f ca="1">IF($A2=0,"",VLOOKUP($B2,Employees!$A:$G,5,FALSE))</f>
        <v>36036</v>
      </c>
      <c r="F2" s="13">
        <f ca="1">IF($E2="","",ROUNDDOWN(YEARFRAC($E2, 'Week 1 Roster'!$D$1-1, 1), 0))</f>
        <v>27</v>
      </c>
      <c r="G2" s="13">
        <f ca="1">IF($E2="","",ROUNDDOWN(YEARFRAC($E2, 'Week 1 Roster'!$D$1+14, 1), 0))</f>
        <v>27</v>
      </c>
      <c r="H2" s="13" t="b">
        <f ca="1">IF($E2="","",IF(AND(F2&lt;21,F2&lt;&gt;G2),TRUE,FALSE))</f>
        <v>0</v>
      </c>
      <c r="I2" s="13">
        <f ca="1">IF($A2=0,"",VLOOKUP($B2,Employees!$A:$G,6,FALSE))</f>
        <v>4880</v>
      </c>
      <c r="J2" s="13" t="str">
        <f ca="1">IF($A2=0,"",VLOOKUP($B2,Employees!$A:$G,7,FALSE))</f>
        <v>MSC</v>
      </c>
      <c r="K2" s="13" t="str">
        <f ca="1">IF($A2=0,"",IF(ISNA(VLOOKUP(A2,'Week 1 Roster'!A:C,2,0)),VLOOKUP(A2,'Week 2 Roster'!A:C,2,0),VLOOKUP(A2,'Week 1 Roster'!A:C,2,0)))</f>
        <v>MSCSQ</v>
      </c>
      <c r="L2" s="13" t="str">
        <f ca="1">IF($A2=0,"",VLOOKUP(K2,Stores!A:B,2,0))</f>
        <v>Miss Coconut</v>
      </c>
      <c r="M2" s="14">
        <f t="shared" ref="M2" ca="1" si="0">Y2+AK2</f>
        <v>17.336666666666666</v>
      </c>
      <c r="N2" s="14">
        <f t="shared" ref="N2" ca="1" si="1">Z2+AL2</f>
        <v>10.666666666666664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6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28.00333333333333</v>
      </c>
      <c r="Y2" s="17">
        <f ca="1">IF($A2=0,0,SUMIF('Week 1 Roster'!$AZ:$AZ,$B2,'Week 1 Roster'!$AE:$AE))</f>
        <v>4.4199999999999982</v>
      </c>
      <c r="Z2" s="17">
        <f ca="1">IF($A2=0,0,SUMIF('Week 1 Roster'!$AZ:$AZ,$B2,'Week 1 Roster'!$AG:$AG))</f>
        <v>5.6666666666666661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3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10.086666666666664</v>
      </c>
      <c r="AK2" s="17">
        <f ca="1">IF($A2=0,0,SUMIF('Week 2 Roster'!$AZ:$AZ,$B2,'Week 2 Roster'!$AE:$AE))</f>
        <v>12.916666666666666</v>
      </c>
      <c r="AL2" s="17">
        <f ca="1">IF($A2=0,0,SUMIF('Week 2 Roster'!$AZ:$AZ,$B2,'Week 2 Roster'!$AG:$AG))</f>
        <v>4.9999999999999982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3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17.916666666666664</v>
      </c>
      <c r="AV2" s="17"/>
      <c r="AW2" s="25">
        <f>'Week 1 Roster'!A2</f>
        <v>10028</v>
      </c>
      <c r="AX2" s="25">
        <f>'Week 2 Roster'!A2</f>
        <v>10028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210471</v>
      </c>
      <c r="B3" s="28">
        <f t="shared" ref="B3:B66" ca="1" si="9">IF(A3=0,"",_xlfn.NUMBERVALUE(A3))</f>
        <v>210471</v>
      </c>
      <c r="C3" s="28" t="str">
        <f ca="1">IF($A3=0,"",VLOOKUP($B3,Employees!$A:$G,2,FALSE))</f>
        <v>Nanako</v>
      </c>
      <c r="D3" s="28" t="str">
        <f ca="1">IF($A3=0,"",VLOOKUP($B3,Employees!$A:$G,3,FALSE))</f>
        <v>Sakurai</v>
      </c>
      <c r="E3" s="26">
        <f ca="1">IF($A3=0,"",VLOOKUP($B3,Employees!$A:$G,5,FALSE))</f>
        <v>36195</v>
      </c>
      <c r="F3" s="13">
        <f ca="1">IF($E3="","",ROUNDDOWN(YEARFRAC($E3, 'Week 1 Roster'!$D$1-1, 1), 0))</f>
        <v>26</v>
      </c>
      <c r="G3" s="13">
        <f ca="1">IF($E3="","",ROUNDDOWN(YEARFRAC($E3, 'Week 1 Roster'!$D$1+14, 1), 0))</f>
        <v>26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MSC</v>
      </c>
      <c r="K3" s="13" t="str">
        <f ca="1">IF($A3=0,"",IF(ISNA(VLOOKUP(A3,'Week 1 Roster'!A:C,2,0)),VLOOKUP(A3,'Week 2 Roster'!A:C,2,0),VLOOKUP(A3,'Week 1 Roster'!A:C,2,0)))</f>
        <v>MSCSQ</v>
      </c>
      <c r="L3" s="13" t="str">
        <f ca="1">IF($A3=0,"",VLOOKUP(K3,Stores!A:B,2,0))</f>
        <v>Miss Coconut</v>
      </c>
      <c r="M3" s="14">
        <f t="shared" ref="M3:M66" ca="1" si="11">Y3+AK3</f>
        <v>31.016666666666662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7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31.016666666666662</v>
      </c>
      <c r="Y3" s="17">
        <f ca="1">IF($A3=0,0,SUMIF('Week 1 Roster'!$AZ:$AZ,$B3,'Week 1 Roster'!$AE:$AE))</f>
        <v>9.3333333333333321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9.3333333333333321</v>
      </c>
      <c r="AK3" s="17">
        <f ca="1">IF($A3=0,0,SUMIF('Week 2 Roster'!$AZ:$AZ,$B3,'Week 2 Roster'!$AE:$AE))</f>
        <v>21.68333333333333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5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21.68333333333333</v>
      </c>
      <c r="AV3" s="17"/>
      <c r="AW3" s="25">
        <f>'Week 1 Roster'!A3</f>
        <v>210471</v>
      </c>
      <c r="AX3" s="25">
        <f>'Week 2 Roster'!A3</f>
        <v>210471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210510</v>
      </c>
      <c r="B4" s="28">
        <f t="shared" ca="1" si="9"/>
        <v>210510</v>
      </c>
      <c r="C4" s="28" t="str">
        <f ca="1">IF($A4=0,"",VLOOKUP($B4,Employees!$A:$G,2,FALSE))</f>
        <v>Supawadee</v>
      </c>
      <c r="D4" s="28" t="str">
        <f ca="1">IF($A4=0,"",VLOOKUP($B4,Employees!$A:$G,3,FALSE))</f>
        <v>Aue-areelers</v>
      </c>
      <c r="E4" s="26">
        <f ca="1">IF($A4=0,"",VLOOKUP($B4,Employees!$A:$G,5,FALSE))</f>
        <v>34530</v>
      </c>
      <c r="F4" s="13">
        <f ca="1">IF($E4="","",ROUNDDOWN(YEARFRAC($E4, 'Week 1 Roster'!$D$1-1, 1), 0))</f>
        <v>31</v>
      </c>
      <c r="G4" s="13">
        <f ca="1">IF($E4="","",ROUNDDOWN(YEARFRAC($E4, 'Week 1 Roster'!$D$1+14, 1), 0))</f>
        <v>31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MSC</v>
      </c>
      <c r="K4" s="13" t="str">
        <f ca="1">IF($A4=0,"",IF(ISNA(VLOOKUP(A4,'Week 1 Roster'!A:C,2,0)),VLOOKUP(A4,'Week 2 Roster'!A:C,2,0),VLOOKUP(A4,'Week 1 Roster'!A:C,2,0)))</f>
        <v>MSCSQ</v>
      </c>
      <c r="L4" s="13" t="str">
        <f ca="1">IF($A4=0,"",VLOOKUP(K4,Stores!A:B,2,0))</f>
        <v>Miss Coconut</v>
      </c>
      <c r="M4" s="14">
        <f t="shared" ca="1" si="11"/>
        <v>21.166666666666664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4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21.166666666666664</v>
      </c>
      <c r="Y4" s="17">
        <f ca="1">IF($A4=0,0,SUMIF('Week 1 Roster'!$AZ:$AZ,$B4,'Week 1 Roster'!$AE:$AE))</f>
        <v>15.166666666666664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15.166666666666664</v>
      </c>
      <c r="AK4" s="17">
        <f ca="1">IF($A4=0,0,SUMIF('Week 2 Roster'!$AZ:$AZ,$B4,'Week 2 Roster'!$AE:$AE))</f>
        <v>6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1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6</v>
      </c>
      <c r="AV4" s="17"/>
      <c r="AW4" s="25">
        <f>'Week 1 Roster'!A4</f>
        <v>210510</v>
      </c>
      <c r="AX4" s="25">
        <f>'Week 2 Roster'!A4</f>
        <v>210510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210500</v>
      </c>
      <c r="B5" s="28">
        <f t="shared" ca="1" si="9"/>
        <v>210500</v>
      </c>
      <c r="C5" s="28" t="str">
        <f ca="1">IF($A5=0,"",VLOOKUP($B5,Employees!$A:$G,2,FALSE))</f>
        <v>Reimi</v>
      </c>
      <c r="D5" s="28" t="str">
        <f ca="1">IF($A5=0,"",VLOOKUP($B5,Employees!$A:$G,3,FALSE))</f>
        <v>Hatakeyama</v>
      </c>
      <c r="E5" s="26">
        <f ca="1">IF($A5=0,"",VLOOKUP($B5,Employees!$A:$G,5,FALSE))</f>
        <v>34944</v>
      </c>
      <c r="F5" s="13">
        <f ca="1">IF($E5="","",ROUNDDOWN(YEARFRAC($E5, 'Week 1 Roster'!$D$1-1, 1), 0))</f>
        <v>30</v>
      </c>
      <c r="G5" s="13">
        <f ca="1">IF($E5="","",ROUNDDOWN(YEARFRAC($E5, 'Week 1 Roster'!$D$1+14, 1), 0))</f>
        <v>30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MSC</v>
      </c>
      <c r="K5" s="13" t="str">
        <f ca="1">IF($A5=0,"",IF(ISNA(VLOOKUP(A5,'Week 1 Roster'!A:C,2,0)),VLOOKUP(A5,'Week 2 Roster'!A:C,2,0),VLOOKUP(A5,'Week 1 Roster'!A:C,2,0)))</f>
        <v>MSCSQ</v>
      </c>
      <c r="L5" s="13" t="str">
        <f ca="1">IF($A5=0,"",VLOOKUP(K5,Stores!A:B,2,0))</f>
        <v>Miss Coconut</v>
      </c>
      <c r="M5" s="14">
        <f t="shared" ca="1" si="11"/>
        <v>14.749999999999996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3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14.749999999999996</v>
      </c>
      <c r="Y5" s="17">
        <f ca="1">IF($A5=0,0,SUMIF('Week 1 Roster'!$AZ:$AZ,$B5,'Week 1 Roster'!$AE:$AE))</f>
        <v>5.2499999999999982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5.2499999999999982</v>
      </c>
      <c r="AK5" s="17">
        <f ca="1">IF($A5=0,0,SUMIF('Week 2 Roster'!$AZ:$AZ,$B5,'Week 2 Roster'!$AE:$AE))</f>
        <v>9.4999999999999982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9.4999999999999982</v>
      </c>
      <c r="AV5" s="17"/>
      <c r="AW5" s="25">
        <f>'Week 1 Roster'!A5</f>
        <v>210500</v>
      </c>
      <c r="AX5" s="25">
        <f>'Week 2 Roster'!A5</f>
        <v>210500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210509</v>
      </c>
      <c r="B6" s="28">
        <f t="shared" ca="1" si="9"/>
        <v>210509</v>
      </c>
      <c r="C6" s="28" t="str">
        <f ca="1">IF($A6=0,"",VLOOKUP($B6,Employees!$A:$G,2,FALSE))</f>
        <v>Olivia</v>
      </c>
      <c r="D6" s="28" t="str">
        <f ca="1">IF($A6=0,"",VLOOKUP($B6,Employees!$A:$G,3,FALSE))</f>
        <v>Fransisca</v>
      </c>
      <c r="E6" s="26">
        <f ca="1">IF($A6=0,"",VLOOKUP($B6,Employees!$A:$G,5,FALSE))</f>
        <v>38954</v>
      </c>
      <c r="F6" s="13">
        <f ca="1">IF($E6="","",ROUNDDOWN(YEARFRAC($E6, 'Week 1 Roster'!$D$1-1, 1), 0))</f>
        <v>19</v>
      </c>
      <c r="G6" s="13">
        <f ca="1">IF($E6="","",ROUNDDOWN(YEARFRAC($E6, 'Week 1 Roster'!$D$1+14, 1), 0))</f>
        <v>19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MSC</v>
      </c>
      <c r="K6" s="13" t="str">
        <f ca="1">IF($A6=0,"",IF(ISNA(VLOOKUP(A6,'Week 1 Roster'!A:C,2,0)),VLOOKUP(A6,'Week 2 Roster'!A:C,2,0),VLOOKUP(A6,'Week 1 Roster'!A:C,2,0)))</f>
        <v>MSCSQ</v>
      </c>
      <c r="L6" s="13" t="str">
        <f ca="1">IF($A6=0,"",VLOOKUP(K6,Stores!A:B,2,0))</f>
        <v>Miss Coconut</v>
      </c>
      <c r="M6" s="14">
        <f t="shared" ca="1" si="11"/>
        <v>27.499999999999993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27.499999999999993</v>
      </c>
      <c r="Y6" s="17">
        <f ca="1">IF($A6=0,0,SUMIF('Week 1 Roster'!$AZ:$AZ,$B6,'Week 1 Roster'!$AE:$AE))</f>
        <v>17.999999999999996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17.999999999999996</v>
      </c>
      <c r="AK6" s="17">
        <f ca="1">IF($A6=0,0,SUMIF('Week 2 Roster'!$AZ:$AZ,$B6,'Week 2 Roster'!$AE:$AE))</f>
        <v>9.4999999999999982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9.4999999999999982</v>
      </c>
      <c r="AV6" s="17"/>
      <c r="AW6" s="25">
        <f>'Week 1 Roster'!A6</f>
        <v>210509</v>
      </c>
      <c r="AX6" s="25">
        <f>'Week 2 Roster'!A6</f>
        <v>210509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210499</v>
      </c>
      <c r="B7" s="28">
        <f t="shared" ca="1" si="9"/>
        <v>210499</v>
      </c>
      <c r="C7" s="28" t="str">
        <f ca="1">IF($A7=0,"",VLOOKUP($B7,Employees!$A:$G,2,FALSE))</f>
        <v>Kathryn</v>
      </c>
      <c r="D7" s="28" t="str">
        <f ca="1">IF($A7=0,"",VLOOKUP($B7,Employees!$A:$G,3,FALSE))</f>
        <v>Yang</v>
      </c>
      <c r="E7" s="26">
        <f ca="1">IF($A7=0,"",VLOOKUP($B7,Employees!$A:$G,5,FALSE))</f>
        <v>39019</v>
      </c>
      <c r="F7" s="13">
        <f ca="1">IF($E7="","",ROUNDDOWN(YEARFRAC($E7, 'Week 1 Roster'!$D$1-1, 1), 0))</f>
        <v>18</v>
      </c>
      <c r="G7" s="13">
        <f ca="1">IF($E7="","",ROUNDDOWN(YEARFRAC($E7, 'Week 1 Roster'!$D$1+14, 1), 0))</f>
        <v>19</v>
      </c>
      <c r="H7" s="13" t="b">
        <f t="shared" ca="1" si="10"/>
        <v>1</v>
      </c>
      <c r="I7" s="13">
        <f ca="1">IF($A7=0,"",VLOOKUP($B7,Employees!$A:$G,6,FALSE))</f>
        <v>48</v>
      </c>
      <c r="J7" s="13" t="str">
        <f ca="1">IF($A7=0,"",VLOOKUP($B7,Employees!$A:$G,7,FALSE))</f>
        <v>MSC</v>
      </c>
      <c r="K7" s="13" t="str">
        <f ca="1">IF($A7=0,"",IF(ISNA(VLOOKUP(A7,'Week 1 Roster'!A:C,2,0)),VLOOKUP(A7,'Week 2 Roster'!A:C,2,0),VLOOKUP(A7,'Week 1 Roster'!A:C,2,0)))</f>
        <v>MSCSQ</v>
      </c>
      <c r="L7" s="13" t="str">
        <f ca="1">IF($A7=0,"",VLOOKUP(K7,Stores!A:B,2,0))</f>
        <v>Miss Coconut</v>
      </c>
      <c r="M7" s="14">
        <f t="shared" ca="1" si="11"/>
        <v>4.8499999999999996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4.8499999999999996</v>
      </c>
      <c r="Y7" s="17">
        <f ca="1">IF($A7=0,0,SUMIF('Week 1 Roster'!$AZ:$AZ,$B7,'Week 1 Roster'!$AE:$AE))</f>
        <v>2.2200000000000002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2.2200000000000002</v>
      </c>
      <c r="AK7" s="17">
        <f ca="1">IF($A7=0,0,SUMIF('Week 2 Roster'!$AZ:$AZ,$B7,'Week 2 Roster'!$AE:$AE))</f>
        <v>2.63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2.63</v>
      </c>
      <c r="AV7" s="17"/>
      <c r="AW7" s="25">
        <f>'Week 1 Roster'!A7</f>
        <v>210499</v>
      </c>
      <c r="AX7" s="25">
        <f>'Week 2 Roster'!A7</f>
        <v>210499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98" zoomScale="186" zoomScaleNormal="186" workbookViewId="0">
      <selection activeCell="F512" sqref="F512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2025-11-10T00:41:04Z</dcterms:modified>
</cp:coreProperties>
</file>