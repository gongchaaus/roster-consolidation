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13_ncr:1_{C9FD993A-F8F3-1C4B-A052-581D580BE9BA}" xr6:coauthVersionLast="47" xr6:coauthVersionMax="47" xr10:uidLastSave="{00000000-0000-0000-0000-000000000000}"/>
  <bookViews>
    <workbookView xWindow="0" yWindow="740" windowWidth="29400" windowHeight="17220" activeTab="3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Z68" i="2"/>
  <c r="AZ67" i="2"/>
  <c r="AZ66" i="2"/>
  <c r="A66" i="2" s="1"/>
  <c r="AW66" i="12" s="1"/>
  <c r="AZ65" i="2"/>
  <c r="AZ64" i="2"/>
  <c r="AZ63" i="2"/>
  <c r="AZ62" i="2"/>
  <c r="AZ61" i="2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Z20" i="2"/>
  <c r="AZ19" i="2"/>
  <c r="AZ18" i="2"/>
  <c r="AZ17" i="2"/>
  <c r="AZ16" i="2"/>
  <c r="A16" i="2" s="1"/>
  <c r="AW16" i="12" s="1"/>
  <c r="AZ15" i="2"/>
  <c r="A15" i="2" s="1"/>
  <c r="AW15" i="12" s="1"/>
  <c r="AZ14" i="2"/>
  <c r="AZ13" i="2"/>
  <c r="A13" i="2" s="1"/>
  <c r="AW13" i="12" s="1"/>
  <c r="AZ12" i="2"/>
  <c r="AZ11" i="2"/>
  <c r="AZ10" i="2"/>
  <c r="AZ9" i="2"/>
  <c r="AZ8" i="2"/>
  <c r="AZ7" i="2"/>
  <c r="A7" i="2" s="1"/>
  <c r="AW7" i="12" s="1"/>
  <c r="AZ6" i="2"/>
  <c r="A6" i="2" s="1"/>
  <c r="AW6" i="12" s="1"/>
  <c r="AZ5" i="2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Z95" i="18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Z83" i="18"/>
  <c r="AZ82" i="18"/>
  <c r="A82" i="18" s="1"/>
  <c r="AX82" i="12" s="1"/>
  <c r="AZ81" i="18"/>
  <c r="AZ80" i="18"/>
  <c r="AZ79" i="18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P13" i="18"/>
  <c r="BQ13" i="18" s="1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R22" i="2" s="1"/>
  <c r="BS22" i="2"/>
  <c r="BQ22" i="2"/>
  <c r="BP22" i="2"/>
  <c r="BO22" i="2"/>
  <c r="BL22" i="2"/>
  <c r="BK22" i="2"/>
  <c r="BJ22" i="2"/>
  <c r="BI22" i="2"/>
  <c r="BF22" i="2"/>
  <c r="BE22" i="2"/>
  <c r="BD22" i="2"/>
  <c r="BB22" i="2"/>
  <c r="BC22" i="2" s="1"/>
  <c r="BA22" i="2"/>
  <c r="CI21" i="2"/>
  <c r="CE21" i="2"/>
  <c r="BZ21" i="2"/>
  <c r="CA21" i="2" s="1"/>
  <c r="BX21" i="2"/>
  <c r="BU21" i="2"/>
  <c r="BT21" i="2"/>
  <c r="BS21" i="2"/>
  <c r="BP21" i="2"/>
  <c r="BO21" i="2"/>
  <c r="BM21" i="2"/>
  <c r="BL21" i="2"/>
  <c r="BK21" i="2"/>
  <c r="BJ21" i="2"/>
  <c r="BI21" i="2"/>
  <c r="BF21" i="2"/>
  <c r="BE21" i="2"/>
  <c r="BD21" i="2"/>
  <c r="BA21" i="2"/>
  <c r="CI20" i="2"/>
  <c r="CG20" i="2"/>
  <c r="CF20" i="2"/>
  <c r="CE20" i="2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H20" i="2" s="1"/>
  <c r="BG20" i="2"/>
  <c r="BF20" i="2"/>
  <c r="BE20" i="2"/>
  <c r="BD20" i="2"/>
  <c r="BB20" i="2"/>
  <c r="BA20" i="2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M19" i="2"/>
  <c r="BL19" i="2"/>
  <c r="BK19" i="2"/>
  <c r="BJ19" i="2"/>
  <c r="BI19" i="2"/>
  <c r="BF19" i="2"/>
  <c r="BE19" i="2"/>
  <c r="BD19" i="2"/>
  <c r="BC19" i="2"/>
  <c r="BB19" i="2"/>
  <c r="BA19" i="2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M18" i="2" s="1"/>
  <c r="BJ18" i="2"/>
  <c r="BI18" i="2"/>
  <c r="BF18" i="2"/>
  <c r="BG18" i="2" s="1"/>
  <c r="BH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M16" i="2" s="1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L22" i="2"/>
  <c r="F8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6" i="18"/>
  <c r="AX96" i="12" s="1"/>
  <c r="A95" i="18"/>
  <c r="AX95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4" i="18"/>
  <c r="AX84" i="12" s="1"/>
  <c r="A83" i="18"/>
  <c r="AX83" i="12" s="1"/>
  <c r="A81" i="18"/>
  <c r="AX81" i="12" s="1"/>
  <c r="A80" i="18"/>
  <c r="AX80" i="12" s="1"/>
  <c r="A79" i="18"/>
  <c r="AX79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9" i="2"/>
  <c r="AW69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1" i="2"/>
  <c r="AW61" i="12" s="1"/>
  <c r="A60" i="2"/>
  <c r="AW60" i="12" s="1"/>
  <c r="A59" i="2"/>
  <c r="AW59" i="12" s="1"/>
  <c r="A57" i="2"/>
  <c r="AW57" i="12" s="1"/>
  <c r="A55" i="2"/>
  <c r="AW55" i="12" s="1"/>
  <c r="A54" i="2"/>
  <c r="AW54" i="12" s="1"/>
  <c r="A53" i="2"/>
  <c r="AW53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9" i="2"/>
  <c r="AW29" i="12" s="1"/>
  <c r="A28" i="2"/>
  <c r="AW28" i="12" s="1"/>
  <c r="A27" i="2"/>
  <c r="AW27" i="12" s="1"/>
  <c r="A25" i="2"/>
  <c r="AW25" i="12" s="1"/>
  <c r="A22" i="2"/>
  <c r="AW22" i="12" s="1"/>
  <c r="A21" i="2"/>
  <c r="AW21" i="12" s="1"/>
  <c r="A20" i="2"/>
  <c r="AW20" i="12" s="1"/>
  <c r="A19" i="2"/>
  <c r="AW19" i="12" s="1"/>
  <c r="A18" i="2"/>
  <c r="AW18" i="12" s="1"/>
  <c r="A17" i="2"/>
  <c r="AW17" i="12" s="1"/>
  <c r="A14" i="2"/>
  <c r="AW14" i="12" s="1"/>
  <c r="A12" i="2"/>
  <c r="AW12" i="12" s="1"/>
  <c r="A11" i="2"/>
  <c r="AW11" i="12" s="1"/>
  <c r="A10" i="2"/>
  <c r="AW10" i="12" s="1"/>
  <c r="A9" i="2"/>
  <c r="AW9" i="12" s="1"/>
  <c r="A8" i="2"/>
  <c r="AW8" i="12" s="1"/>
  <c r="A5" i="2"/>
  <c r="AW5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13" i="2"/>
  <c r="U5" i="2"/>
  <c r="L10" i="2"/>
  <c r="I9" i="18"/>
  <c r="I55" i="2"/>
  <c r="R56" i="2"/>
  <c r="L18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F16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O11" i="2"/>
  <c r="L19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L16" i="2"/>
  <c r="F19" i="2"/>
  <c r="U28" i="2"/>
  <c r="I20" i="2"/>
  <c r="L21" i="2"/>
  <c r="O22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X20" i="2"/>
  <c r="F22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12" i="2"/>
  <c r="R20" i="2"/>
  <c r="O19" i="2"/>
  <c r="X6" i="2"/>
  <c r="I60" i="18"/>
  <c r="I9" i="2"/>
  <c r="F45" i="2"/>
  <c r="X47" i="2"/>
  <c r="CG10" i="18" l="1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F17" i="2"/>
  <c r="BL17" i="2"/>
  <c r="L17" i="2" s="1"/>
  <c r="BH21" i="2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BC20" i="2"/>
  <c r="BG21" i="2"/>
  <c r="I21" i="2" s="1"/>
  <c r="BR21" i="2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C17" i="2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BH22" i="2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C21" i="2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CG19" i="2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K17" i="2" s="1"/>
  <c r="AP17" i="2" s="1"/>
  <c r="CA18" i="2"/>
  <c r="CB18" i="2" s="1"/>
  <c r="CF19" i="2"/>
  <c r="BB21" i="2"/>
  <c r="BG22" i="2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15" i="2"/>
  <c r="L32" i="2"/>
  <c r="AB32" i="2" s="1"/>
  <c r="F100" i="2"/>
  <c r="F15" i="2"/>
  <c r="F20" i="2"/>
  <c r="O29" i="2"/>
  <c r="L51" i="2"/>
  <c r="U31" i="2"/>
  <c r="U6" i="2"/>
  <c r="I43" i="2"/>
  <c r="X30" i="2"/>
  <c r="U40" i="2"/>
  <c r="O81" i="2"/>
  <c r="F91" i="2"/>
  <c r="O6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L9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U20" i="2"/>
  <c r="F21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I22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X11" i="2" l="1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AB18" i="2"/>
  <c r="CG71" i="2"/>
  <c r="BM96" i="2"/>
  <c r="BW35" i="2"/>
  <c r="BH59" i="2"/>
  <c r="I19" i="2"/>
  <c r="CK19" i="2" s="1"/>
  <c r="AP19" i="2" s="1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K20" i="2" s="1"/>
  <c r="AP20" i="2" s="1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AB21" i="2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AB20" i="2"/>
  <c r="CK24" i="2"/>
  <c r="AP24" i="2" s="1"/>
  <c r="AB24" i="2"/>
  <c r="CK25" i="2"/>
  <c r="AP25" i="2" s="1"/>
  <c r="AB25" i="2"/>
  <c r="I79" i="2"/>
  <c r="CK67" i="2"/>
  <c r="AP67" i="2" s="1"/>
  <c r="AB67" i="2"/>
  <c r="CK11" i="2"/>
  <c r="AP11" i="2" s="1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CK18" i="2"/>
  <c r="AP18" i="2" s="1"/>
  <c r="AB29" i="2"/>
  <c r="CK29" i="2"/>
  <c r="AP29" i="2" s="1"/>
  <c r="AB9" i="2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K2" i="12" l="1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3" i="12" a="1"/>
  <c r="AF2" i="12" l="1"/>
  <c r="AG2" i="12"/>
  <c r="AQ2" i="12"/>
  <c r="AT2" i="12"/>
  <c r="AH2" i="12"/>
  <c r="E2" i="12"/>
  <c r="F2" i="12" s="1"/>
  <c r="AR2" i="12"/>
  <c r="T2" i="12" s="1"/>
  <c r="I2" i="12"/>
  <c r="J2" i="12"/>
  <c r="C2" i="12"/>
  <c r="AS2" i="12"/>
  <c r="U2" i="12" s="1"/>
  <c r="U1" i="2"/>
  <c r="CB1" i="2" s="1"/>
  <c r="CC1" i="2" s="1"/>
  <c r="V1" i="2"/>
  <c r="D1" i="18" s="1"/>
  <c r="AE2" i="12"/>
  <c r="Y1" i="2"/>
  <c r="W1" i="2"/>
  <c r="X1" i="2"/>
  <c r="CG1" i="2" s="1"/>
  <c r="A3" i="12"/>
  <c r="S2" i="12" l="1"/>
  <c r="BY1" i="2"/>
  <c r="V2" i="12"/>
  <c r="G2" i="12"/>
  <c r="H2" i="12" s="1"/>
  <c r="K3" i="12"/>
  <c r="L3" i="12" s="1"/>
  <c r="E1" i="18"/>
  <c r="G1" i="18"/>
  <c r="F1" i="18"/>
  <c r="BC1" i="18" s="1"/>
  <c r="CH1" i="2"/>
  <c r="CD1" i="2"/>
  <c r="AA1" i="2"/>
  <c r="CJ1" i="2" s="1"/>
  <c r="CI1" i="2" s="1"/>
  <c r="Z1" i="2"/>
  <c r="B3" i="12"/>
  <c r="AE90" i="2" l="1"/>
  <c r="AI75" i="2"/>
  <c r="AK38" i="2"/>
  <c r="AI3" i="2"/>
  <c r="AA3" i="12" s="1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C3" i="12" s="1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B3" i="12" s="1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Y3" i="1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D3" i="12"/>
  <c r="AE3" i="12"/>
  <c r="J3" i="12"/>
  <c r="Z3" i="12"/>
  <c r="AG3" i="12"/>
  <c r="AH3" i="12"/>
  <c r="AS3" i="12"/>
  <c r="A4" i="12" a="1"/>
  <c r="AA2" i="12" l="1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I3" i="12"/>
  <c r="A4" i="12"/>
  <c r="K4" i="12" l="1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M5" i="12" s="1"/>
  <c r="O5" i="12" s="1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K6" i="12" l="1"/>
  <c r="L6" i="12" s="1"/>
  <c r="AK4" i="12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M4" i="12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H8" i="12"/>
  <c r="J8" i="12"/>
  <c r="AC8" i="12"/>
  <c r="AQ8" i="12"/>
  <c r="A9" i="12" a="1"/>
  <c r="AE8" i="12" l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V8" i="12" s="1"/>
  <c r="Z8" i="12"/>
  <c r="N8" i="12" s="1"/>
  <c r="A9" i="12"/>
  <c r="B9" i="12" s="1"/>
  <c r="S8" i="12"/>
  <c r="T8" i="12" l="1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A10" i="12"/>
  <c r="K10" i="12" s="1"/>
  <c r="L10" i="12" s="1"/>
  <c r="Q9" i="12"/>
  <c r="N9" i="12"/>
  <c r="H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K10" i="12"/>
  <c r="AO10" i="12"/>
  <c r="AE10" i="12"/>
  <c r="AA10" i="12"/>
  <c r="AH10" i="12"/>
  <c r="Z10" i="12"/>
  <c r="E10" i="12"/>
  <c r="AN10" i="12"/>
  <c r="AC10" i="12"/>
  <c r="AS10" i="12"/>
  <c r="AQ10" i="12"/>
  <c r="AR10" i="12"/>
  <c r="AF10" i="12"/>
  <c r="AD10" i="12"/>
  <c r="AG10" i="12"/>
  <c r="D10" i="12"/>
  <c r="AL10" i="12"/>
  <c r="C10" i="12"/>
  <c r="AT10" i="12"/>
  <c r="J10" i="12"/>
  <c r="Y10" i="12"/>
  <c r="I10" i="12"/>
  <c r="AB10" i="12"/>
  <c r="AM10" i="12"/>
  <c r="R10" i="12" l="1"/>
  <c r="M10" i="12"/>
  <c r="Q10" i="12"/>
  <c r="T10" i="12"/>
  <c r="V10" i="12"/>
  <c r="S10" i="12"/>
  <c r="O10" i="12"/>
  <c r="AI10" i="12"/>
  <c r="U10" i="12"/>
  <c r="P10" i="12"/>
  <c r="N10" i="12"/>
  <c r="F10" i="12"/>
  <c r="AU10" i="12"/>
  <c r="G10" i="12"/>
  <c r="W10" i="12" l="1"/>
  <c r="H10" i="12"/>
  <c r="A11" i="12" a="1"/>
  <c r="A11" i="12" l="1"/>
  <c r="K11" i="12" l="1"/>
  <c r="D11" i="12"/>
  <c r="I11" i="12"/>
  <c r="AQ11" i="12"/>
  <c r="AL11" i="12"/>
  <c r="B11" i="12"/>
  <c r="AC11" i="12"/>
  <c r="AK11" i="12"/>
  <c r="L11" i="12"/>
  <c r="AD11" i="12"/>
  <c r="AR11" i="12"/>
  <c r="AS11" i="12"/>
  <c r="AF11" i="12"/>
  <c r="AO11" i="12"/>
  <c r="Y11" i="12"/>
  <c r="AG11" i="12"/>
  <c r="AM11" i="12"/>
  <c r="C11" i="12"/>
  <c r="AP11" i="12"/>
  <c r="AB11" i="12"/>
  <c r="AE11" i="12"/>
  <c r="S11" i="12" s="1"/>
  <c r="AH11" i="12"/>
  <c r="J11" i="12"/>
  <c r="AA11" i="12"/>
  <c r="O11" i="12" s="1"/>
  <c r="AN11" i="12"/>
  <c r="Z11" i="12"/>
  <c r="E11" i="12"/>
  <c r="AT11" i="12"/>
  <c r="P11" i="12" l="1"/>
  <c r="U11" i="12"/>
  <c r="T11" i="12"/>
  <c r="Q11" i="12"/>
  <c r="AU11" i="12"/>
  <c r="AI11" i="12"/>
  <c r="M11" i="12"/>
  <c r="V11" i="12"/>
  <c r="F11" i="12"/>
  <c r="H11" i="12"/>
  <c r="G11" i="12"/>
  <c r="N11" i="12"/>
  <c r="R11" i="12"/>
  <c r="A12" i="12" a="1"/>
  <c r="A12" i="12" l="1"/>
  <c r="W11" i="12"/>
  <c r="L12" i="12" l="1"/>
  <c r="C12" i="12"/>
  <c r="I12" i="12"/>
  <c r="AL12" i="12"/>
  <c r="E12" i="12"/>
  <c r="AF12" i="12"/>
  <c r="B12" i="12"/>
  <c r="AE12" i="12"/>
  <c r="AA12" i="12"/>
  <c r="AQ12" i="12"/>
  <c r="D12" i="12"/>
  <c r="J12" i="12"/>
  <c r="AK12" i="12"/>
  <c r="AS12" i="12"/>
  <c r="AT12" i="12"/>
  <c r="AO12" i="12"/>
  <c r="AN12" i="12"/>
  <c r="AH12" i="12"/>
  <c r="AB12" i="12"/>
  <c r="P12" i="12" s="1"/>
  <c r="K12" i="12"/>
  <c r="AR12" i="12"/>
  <c r="AC12" i="12"/>
  <c r="Y12" i="12"/>
  <c r="Z12" i="12"/>
  <c r="N12" i="12" s="1"/>
  <c r="AM12" i="12"/>
  <c r="AG12" i="12"/>
  <c r="AP12" i="12"/>
  <c r="AD12" i="12"/>
  <c r="R12" i="12" s="1"/>
  <c r="S12" i="12" l="1"/>
  <c r="T12" i="12"/>
  <c r="M12" i="12"/>
  <c r="AI12" i="12"/>
  <c r="AU12" i="12"/>
  <c r="H12" i="12"/>
  <c r="F12" i="12"/>
  <c r="G12" i="12"/>
  <c r="U12" i="12"/>
  <c r="Q12" i="12"/>
  <c r="V12" i="12"/>
  <c r="O12" i="12"/>
  <c r="A13" i="12" a="1"/>
  <c r="A13" i="12" l="1"/>
  <c r="W12" i="12"/>
  <c r="AN13" i="12" l="1"/>
  <c r="L13" i="12"/>
  <c r="K13" i="12"/>
  <c r="C13" i="12"/>
  <c r="AH13" i="12"/>
  <c r="AT13" i="12"/>
  <c r="AO13" i="12"/>
  <c r="AL13" i="12"/>
  <c r="I13" i="12"/>
  <c r="B13" i="12"/>
  <c r="AM13" i="12"/>
  <c r="AB13" i="12"/>
  <c r="P13" i="12" s="1"/>
  <c r="D13" i="12"/>
  <c r="AD13" i="12"/>
  <c r="AF13" i="12"/>
  <c r="AP13" i="12"/>
  <c r="AR13" i="12"/>
  <c r="Y13" i="12"/>
  <c r="AA13" i="12"/>
  <c r="AE13" i="12"/>
  <c r="E13" i="12"/>
  <c r="AG13" i="12"/>
  <c r="J13" i="12"/>
  <c r="Z13" i="12"/>
  <c r="N13" i="12" s="1"/>
  <c r="AQ13" i="12"/>
  <c r="AS13" i="12"/>
  <c r="AK13" i="12"/>
  <c r="AC13" i="12"/>
  <c r="U13" i="12" l="1"/>
  <c r="S13" i="12"/>
  <c r="T13" i="12"/>
  <c r="O13" i="12"/>
  <c r="Q13" i="12"/>
  <c r="AU13" i="12"/>
  <c r="M13" i="12"/>
  <c r="AI13" i="12"/>
  <c r="R13" i="12"/>
  <c r="F13" i="12"/>
  <c r="G13" i="12"/>
  <c r="H13" i="12"/>
  <c r="V13" i="12"/>
  <c r="A14" i="12" a="1"/>
  <c r="A14" i="12" l="1"/>
  <c r="W13" i="12"/>
  <c r="B14" i="12" l="1"/>
  <c r="L14" i="12"/>
  <c r="AR14" i="12"/>
  <c r="E14" i="12"/>
  <c r="C14" i="12"/>
  <c r="AK14" i="12"/>
  <c r="Z14" i="12"/>
  <c r="AO14" i="12"/>
  <c r="AQ14" i="12"/>
  <c r="AT14" i="12"/>
  <c r="AF14" i="12"/>
  <c r="AB14" i="12"/>
  <c r="Y14" i="12"/>
  <c r="AC14" i="12"/>
  <c r="I14" i="12"/>
  <c r="AG14" i="12"/>
  <c r="AE14" i="12"/>
  <c r="S14" i="12" s="1"/>
  <c r="K14" i="12"/>
  <c r="D14" i="12"/>
  <c r="AL14" i="12"/>
  <c r="AD14" i="12"/>
  <c r="AH14" i="12"/>
  <c r="V14" i="12" s="1"/>
  <c r="AS14" i="12"/>
  <c r="AM14" i="12"/>
  <c r="J14" i="12"/>
  <c r="AN14" i="12"/>
  <c r="AA14" i="12"/>
  <c r="AP14" i="12"/>
  <c r="R14" i="12" l="1"/>
  <c r="P14" i="12"/>
  <c r="N14" i="12"/>
  <c r="T14" i="12"/>
  <c r="U14" i="12"/>
  <c r="Q14" i="12"/>
  <c r="AU14" i="12"/>
  <c r="O14" i="12"/>
  <c r="AI14" i="12"/>
  <c r="M14" i="12"/>
  <c r="G14" i="12"/>
  <c r="H14" i="12"/>
  <c r="F14" i="12"/>
  <c r="A15" i="12" a="1"/>
  <c r="W14" i="12" l="1"/>
  <c r="A15" i="12"/>
  <c r="AT15" i="12" l="1"/>
  <c r="AL15" i="12"/>
  <c r="AA15" i="12"/>
  <c r="AH15" i="12"/>
  <c r="V15" i="12" s="1"/>
  <c r="AE15" i="12"/>
  <c r="AG15" i="12"/>
  <c r="Y15" i="12"/>
  <c r="L15" i="12"/>
  <c r="AM15" i="12"/>
  <c r="AB15" i="12"/>
  <c r="AO15" i="12"/>
  <c r="D15" i="12"/>
  <c r="K15" i="12"/>
  <c r="AS15" i="12"/>
  <c r="Z15" i="12"/>
  <c r="N15" i="12" s="1"/>
  <c r="AR15" i="12"/>
  <c r="AQ15" i="12"/>
  <c r="E15" i="12"/>
  <c r="AC15" i="12"/>
  <c r="I15" i="12"/>
  <c r="AP15" i="12"/>
  <c r="B15" i="12"/>
  <c r="AK15" i="12"/>
  <c r="C15" i="12"/>
  <c r="AF15" i="12"/>
  <c r="AD15" i="12"/>
  <c r="J15" i="12"/>
  <c r="AN15" i="12"/>
  <c r="O15" i="12" l="1"/>
  <c r="U15" i="12"/>
  <c r="Q15" i="12"/>
  <c r="AU15" i="12"/>
  <c r="AI15" i="12"/>
  <c r="M15" i="12"/>
  <c r="R15" i="12"/>
  <c r="F15" i="12"/>
  <c r="G15" i="12"/>
  <c r="H15" i="12"/>
  <c r="P15" i="12"/>
  <c r="T15" i="12"/>
  <c r="S15" i="12"/>
  <c r="A16" i="12" a="1"/>
  <c r="A16" i="12" l="1"/>
  <c r="W15" i="12"/>
  <c r="Y16" i="12" l="1"/>
  <c r="AR16" i="12"/>
  <c r="AC16" i="12"/>
  <c r="AE16" i="12"/>
  <c r="AL16" i="12"/>
  <c r="J16" i="12"/>
  <c r="AF16" i="12"/>
  <c r="T16" i="12" s="1"/>
  <c r="AM16" i="12"/>
  <c r="AD16" i="12"/>
  <c r="AK16" i="12"/>
  <c r="I16" i="12"/>
  <c r="AN16" i="12"/>
  <c r="E16" i="12"/>
  <c r="AH16" i="12"/>
  <c r="AA16" i="12"/>
  <c r="L16" i="12"/>
  <c r="Z16" i="12"/>
  <c r="AT16" i="12"/>
  <c r="B16" i="12"/>
  <c r="AG16" i="12"/>
  <c r="C16" i="12"/>
  <c r="K16" i="12"/>
  <c r="AQ16" i="12"/>
  <c r="D16" i="12"/>
  <c r="AO16" i="12"/>
  <c r="AP16" i="12"/>
  <c r="R16" i="12" s="1"/>
  <c r="AS16" i="12"/>
  <c r="AB16" i="12"/>
  <c r="P16" i="12" s="1"/>
  <c r="A17" i="12" a="1"/>
  <c r="V16" i="12" l="1"/>
  <c r="S16" i="12"/>
  <c r="Q16" i="12"/>
  <c r="A17" i="12"/>
  <c r="AU16" i="12"/>
  <c r="O16" i="12"/>
  <c r="F16" i="12"/>
  <c r="H16" i="12"/>
  <c r="G16" i="12"/>
  <c r="U16" i="12"/>
  <c r="N16" i="12"/>
  <c r="AI16" i="12"/>
  <c r="M16" i="12"/>
  <c r="W16" i="12" l="1"/>
  <c r="AK17" i="12"/>
  <c r="AT17" i="12"/>
  <c r="J17" i="12"/>
  <c r="AB17" i="12"/>
  <c r="AN17" i="12"/>
  <c r="B17" i="12"/>
  <c r="Y17" i="12"/>
  <c r="AQ17" i="12"/>
  <c r="K17" i="12"/>
  <c r="AL17" i="12"/>
  <c r="AH17" i="12"/>
  <c r="V17" i="12" s="1"/>
  <c r="AE17" i="12"/>
  <c r="S17" i="12" s="1"/>
  <c r="L17" i="12"/>
  <c r="AG17" i="12"/>
  <c r="AM17" i="12"/>
  <c r="AR17" i="12"/>
  <c r="C17" i="12"/>
  <c r="AD17" i="12"/>
  <c r="AF17" i="12"/>
  <c r="T17" i="12" s="1"/>
  <c r="AS17" i="12"/>
  <c r="AA17" i="12"/>
  <c r="Z17" i="12"/>
  <c r="N17" i="12" s="1"/>
  <c r="D17" i="12"/>
  <c r="AC17" i="12"/>
  <c r="I17" i="12"/>
  <c r="AO17" i="12"/>
  <c r="E17" i="12"/>
  <c r="AP17" i="12"/>
  <c r="A18" i="12" a="1"/>
  <c r="A18" i="12" l="1"/>
  <c r="R17" i="12"/>
  <c r="M17" i="12"/>
  <c r="AI17" i="12"/>
  <c r="O17" i="12"/>
  <c r="U17" i="12"/>
  <c r="G17" i="12"/>
  <c r="F17" i="12"/>
  <c r="H17" i="12"/>
  <c r="P17" i="12"/>
  <c r="AU17" i="12"/>
  <c r="Q17" i="12"/>
  <c r="W17" i="12" l="1"/>
  <c r="C18" i="12"/>
  <c r="AL18" i="12"/>
  <c r="B18" i="12"/>
  <c r="Y18" i="12"/>
  <c r="AO18" i="12"/>
  <c r="AG18" i="12"/>
  <c r="AC18" i="12"/>
  <c r="AF18" i="12"/>
  <c r="AP18" i="12"/>
  <c r="I18" i="12"/>
  <c r="Z18" i="12"/>
  <c r="N18" i="12" s="1"/>
  <c r="AQ18" i="12"/>
  <c r="K18" i="12"/>
  <c r="E18" i="12"/>
  <c r="AE18" i="12"/>
  <c r="AR18" i="12"/>
  <c r="T18" i="12" s="1"/>
  <c r="AN18" i="12"/>
  <c r="AK18" i="12"/>
  <c r="AS18" i="12"/>
  <c r="D18" i="12"/>
  <c r="AD18" i="12"/>
  <c r="R18" i="12" s="1"/>
  <c r="AA18" i="12"/>
  <c r="J18" i="12"/>
  <c r="AB18" i="12"/>
  <c r="AM18" i="12"/>
  <c r="AT18" i="12"/>
  <c r="AH18" i="12"/>
  <c r="V18" i="12" s="1"/>
  <c r="L18" i="12"/>
  <c r="A19" i="12" a="1"/>
  <c r="S18" i="12" l="1"/>
  <c r="Q18" i="12"/>
  <c r="A19" i="12"/>
  <c r="G18" i="12"/>
  <c r="H18" i="12"/>
  <c r="F18" i="12"/>
  <c r="AI18" i="12"/>
  <c r="M18" i="12"/>
  <c r="W18" i="12" s="1"/>
  <c r="AU18" i="12"/>
  <c r="U18" i="12"/>
  <c r="O18" i="12"/>
  <c r="P18" i="12"/>
  <c r="AP19" i="12" l="1"/>
  <c r="AQ19" i="12"/>
  <c r="AF19" i="12"/>
  <c r="AT19" i="12"/>
  <c r="AK19" i="12"/>
  <c r="L19" i="12"/>
  <c r="K19" i="12"/>
  <c r="AS19" i="12"/>
  <c r="C19" i="12"/>
  <c r="D19" i="12"/>
  <c r="AA19" i="12"/>
  <c r="AH19" i="12"/>
  <c r="AL19" i="12"/>
  <c r="AO19" i="12"/>
  <c r="AD19" i="12"/>
  <c r="R19" i="12" s="1"/>
  <c r="Z19" i="12"/>
  <c r="AB19" i="12"/>
  <c r="Y19" i="12"/>
  <c r="E19" i="12"/>
  <c r="AC19" i="12"/>
  <c r="AG19" i="12"/>
  <c r="AM19" i="12"/>
  <c r="AN19" i="12"/>
  <c r="AE19" i="12"/>
  <c r="B19" i="12"/>
  <c r="I19" i="12"/>
  <c r="J19" i="12"/>
  <c r="AR19" i="12"/>
  <c r="T19" i="12" s="1"/>
  <c r="A20" i="12" a="1"/>
  <c r="S19" i="12" l="1"/>
  <c r="V19" i="12"/>
  <c r="N19" i="12"/>
  <c r="A20" i="12"/>
  <c r="U19" i="12"/>
  <c r="AU19" i="12"/>
  <c r="Q19" i="12"/>
  <c r="G19" i="12"/>
  <c r="F19" i="12"/>
  <c r="H19" i="12"/>
  <c r="O19" i="12"/>
  <c r="M19" i="12"/>
  <c r="AI19" i="12"/>
  <c r="P19" i="12"/>
  <c r="W19" i="12" l="1"/>
  <c r="AD20" i="12"/>
  <c r="AN20" i="12"/>
  <c r="L20" i="12"/>
  <c r="AH20" i="12"/>
  <c r="B20" i="12"/>
  <c r="C20" i="12"/>
  <c r="D20" i="12"/>
  <c r="AG20" i="12"/>
  <c r="AE20" i="12"/>
  <c r="AK20" i="12"/>
  <c r="J20" i="12"/>
  <c r="E20" i="12"/>
  <c r="AF20" i="12"/>
  <c r="AB20" i="12"/>
  <c r="P20" i="12" s="1"/>
  <c r="AO20" i="12"/>
  <c r="AL20" i="12"/>
  <c r="AC20" i="12"/>
  <c r="I20" i="12"/>
  <c r="AR20" i="12"/>
  <c r="AA20" i="12"/>
  <c r="AM20" i="12"/>
  <c r="Y20" i="12"/>
  <c r="AQ20" i="12"/>
  <c r="Z20" i="12"/>
  <c r="K20" i="12"/>
  <c r="AS20" i="12"/>
  <c r="AT20" i="12"/>
  <c r="AP20" i="12"/>
  <c r="R20" i="12" s="1"/>
  <c r="A21" i="12" a="1"/>
  <c r="T20" i="12" l="1"/>
  <c r="A21" i="12"/>
  <c r="O20" i="12"/>
  <c r="AU20" i="12"/>
  <c r="Q20" i="12"/>
  <c r="S20" i="12"/>
  <c r="M20" i="12"/>
  <c r="W20" i="12" s="1"/>
  <c r="AI20" i="12"/>
  <c r="G20" i="12"/>
  <c r="F20" i="12"/>
  <c r="H20" i="12"/>
  <c r="V20" i="12"/>
  <c r="N20" i="12"/>
  <c r="U20" i="12"/>
  <c r="AA21" i="12" l="1"/>
  <c r="AN21" i="12"/>
  <c r="B21" i="12"/>
  <c r="L21" i="12"/>
  <c r="AB21" i="12"/>
  <c r="P21" i="12" s="1"/>
  <c r="AQ21" i="12"/>
  <c r="AO21" i="12"/>
  <c r="AG21" i="12"/>
  <c r="AR21" i="12"/>
  <c r="Z21" i="12"/>
  <c r="AL21" i="12"/>
  <c r="AM21" i="12"/>
  <c r="O21" i="12" s="1"/>
  <c r="AD21" i="12"/>
  <c r="E21" i="12"/>
  <c r="AT21" i="12"/>
  <c r="AH21" i="12"/>
  <c r="C21" i="12"/>
  <c r="AE21" i="12"/>
  <c r="AP21" i="12"/>
  <c r="I21" i="12"/>
  <c r="J21" i="12"/>
  <c r="AS21" i="12"/>
  <c r="K21" i="12"/>
  <c r="AF21" i="12"/>
  <c r="T21" i="12" s="1"/>
  <c r="D21" i="12"/>
  <c r="AK21" i="12"/>
  <c r="Y21" i="12"/>
  <c r="AC21" i="12"/>
  <c r="A22" i="12" a="1"/>
  <c r="N21" i="12" l="1"/>
  <c r="R21" i="12"/>
  <c r="V21" i="12"/>
  <c r="U21" i="12"/>
  <c r="A22" i="12"/>
  <c r="G21" i="12"/>
  <c r="H21" i="12"/>
  <c r="F21" i="12"/>
  <c r="Q21" i="12"/>
  <c r="M21" i="12"/>
  <c r="AI21" i="12"/>
  <c r="AU21" i="12"/>
  <c r="S21" i="12"/>
  <c r="W21" i="12" l="1"/>
  <c r="E22" i="12"/>
  <c r="AO22" i="12"/>
  <c r="AC22" i="12"/>
  <c r="AK22" i="12"/>
  <c r="AP22" i="12"/>
  <c r="AD22" i="12"/>
  <c r="Z22" i="12"/>
  <c r="Y22" i="12"/>
  <c r="AE22" i="12"/>
  <c r="J22" i="12"/>
  <c r="AM22" i="12"/>
  <c r="B22" i="12"/>
  <c r="AH22" i="12"/>
  <c r="AL22" i="12"/>
  <c r="D22" i="12"/>
  <c r="AT22" i="12"/>
  <c r="AA22" i="12"/>
  <c r="AF22" i="12"/>
  <c r="AG22" i="12"/>
  <c r="I22" i="12"/>
  <c r="AN22" i="12"/>
  <c r="AR22" i="12"/>
  <c r="L22" i="12"/>
  <c r="AS22" i="12"/>
  <c r="AB22" i="12"/>
  <c r="C22" i="12"/>
  <c r="AQ22" i="12"/>
  <c r="K22" i="12"/>
  <c r="A23" i="12" a="1"/>
  <c r="O22" i="12" l="1"/>
  <c r="N22" i="12"/>
  <c r="R22" i="12"/>
  <c r="Q22" i="12"/>
  <c r="A23" i="12"/>
  <c r="U22" i="12"/>
  <c r="T22" i="12"/>
  <c r="M22" i="12"/>
  <c r="AI22" i="12"/>
  <c r="V22" i="12"/>
  <c r="AU22" i="12"/>
  <c r="P22" i="12"/>
  <c r="S22" i="12"/>
  <c r="G22" i="12"/>
  <c r="F22" i="12"/>
  <c r="H22" i="12"/>
  <c r="W22" i="12" l="1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U23" i="12" s="1"/>
  <c r="AK23" i="12"/>
  <c r="Z23" i="12"/>
  <c r="AT23" i="12"/>
  <c r="AR23" i="12"/>
  <c r="AC23" i="12"/>
  <c r="AA23" i="12"/>
  <c r="O23" i="12" s="1"/>
  <c r="L23" i="12"/>
  <c r="A24" i="12" a="1"/>
  <c r="T23" i="12" l="1"/>
  <c r="S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N25" i="12" s="1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T25" i="12" s="1"/>
  <c r="L25" i="12"/>
  <c r="AA25" i="12"/>
  <c r="AC25" i="12"/>
  <c r="AO25" i="12"/>
  <c r="Y25" i="12"/>
  <c r="I25" i="12"/>
  <c r="A26" i="12" a="1"/>
  <c r="P25" i="12" l="1"/>
  <c r="A26" i="12"/>
  <c r="U25" i="12"/>
  <c r="V25" i="12"/>
  <c r="R25" i="12"/>
  <c r="AI25" i="12"/>
  <c r="M25" i="12"/>
  <c r="W25" i="12" s="1"/>
  <c r="F25" i="12"/>
  <c r="H25" i="12"/>
  <c r="G25" i="12"/>
  <c r="Q25" i="12"/>
  <c r="S25" i="12"/>
  <c r="AU25" i="12"/>
  <c r="O25" i="12"/>
  <c r="AD26" i="12" l="1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O26" i="12" s="1"/>
  <c r="AO26" i="12"/>
  <c r="E26" i="12"/>
  <c r="L26" i="12"/>
  <c r="Z26" i="12"/>
  <c r="K26" i="12"/>
  <c r="A27" i="12" a="1"/>
  <c r="U26" i="12" l="1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R27" i="12" s="1"/>
  <c r="AG27" i="12"/>
  <c r="AS27" i="12"/>
  <c r="AH27" i="12"/>
  <c r="E27" i="12"/>
  <c r="AB27" i="12"/>
  <c r="AO27" i="12"/>
  <c r="A28" i="12" a="1"/>
  <c r="U27" i="12" l="1"/>
  <c r="Q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V28" i="12" s="1"/>
  <c r="A29" i="12" a="1"/>
  <c r="U28" i="12" l="1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O29" i="12" s="1"/>
  <c r="AH29" i="12"/>
  <c r="AS29" i="12"/>
  <c r="AO29" i="12"/>
  <c r="AN29" i="12"/>
  <c r="I29" i="12"/>
  <c r="AL29" i="12"/>
  <c r="AE29" i="12"/>
  <c r="AD29" i="12"/>
  <c r="R29" i="12" s="1"/>
  <c r="C29" i="12"/>
  <c r="B29" i="12"/>
  <c r="K29" i="12"/>
  <c r="L29" i="12"/>
  <c r="AB29" i="12"/>
  <c r="P29" i="12" s="1"/>
  <c r="AR29" i="12"/>
  <c r="AT29" i="12"/>
  <c r="A30" i="12" a="1"/>
  <c r="Q29" i="12" l="1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O30" i="12" s="1"/>
  <c r="Z30" i="12"/>
  <c r="N30" i="12" s="1"/>
  <c r="AG30" i="12"/>
  <c r="D30" i="12"/>
  <c r="AQ30" i="12"/>
  <c r="AR30" i="12"/>
  <c r="J30" i="12"/>
  <c r="A31" i="12" a="1"/>
  <c r="T30" i="12" l="1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U31" i="12" s="1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Q31" i="12" s="1"/>
  <c r="J31" i="12"/>
  <c r="AT31" i="12"/>
  <c r="AQ31" i="12"/>
  <c r="S31" i="12" s="1"/>
  <c r="A32" i="12" a="1"/>
  <c r="O31" i="12" l="1"/>
  <c r="V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P32" i="12" s="1"/>
  <c r="J32" i="12"/>
  <c r="AG32" i="12"/>
  <c r="U32" i="12" s="1"/>
  <c r="Z32" i="12"/>
  <c r="AM32" i="12"/>
  <c r="L32" i="12"/>
  <c r="AO32" i="12"/>
  <c r="AP32" i="12"/>
  <c r="A33" i="12" a="1"/>
  <c r="N32" i="12" l="1"/>
  <c r="T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V33" i="12" s="1"/>
  <c r="AK33" i="12"/>
  <c r="AQ33" i="12"/>
  <c r="E33" i="12"/>
  <c r="D33" i="12"/>
  <c r="J33" i="12"/>
  <c r="AG33" i="12"/>
  <c r="AL33" i="12"/>
  <c r="AD33" i="12"/>
  <c r="R33" i="12" s="1"/>
  <c r="I33" i="12"/>
  <c r="Y33" i="12"/>
  <c r="AS33" i="12"/>
  <c r="AC33" i="12"/>
  <c r="AO33" i="12"/>
  <c r="AN33" i="12"/>
  <c r="AR33" i="12"/>
  <c r="C33" i="12"/>
  <c r="L33" i="12"/>
  <c r="K33" i="12"/>
  <c r="A34" i="12" a="1"/>
  <c r="P33" i="12" l="1"/>
  <c r="N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O35" i="12" s="1"/>
  <c r="A36" i="12" a="1"/>
  <c r="N35" i="12" l="1"/>
  <c r="P35" i="12"/>
  <c r="S35" i="12"/>
  <c r="V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V36" i="12" s="1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Q36" i="12" l="1"/>
  <c r="R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T37" i="12" l="1"/>
  <c r="S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P38" i="12" l="1"/>
  <c r="S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O39" i="12" s="1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AU39" i="12" l="1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N40" i="12" s="1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Q40" i="12"/>
  <c r="V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N41" i="12" l="1"/>
  <c r="V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Q42" i="12" s="1"/>
  <c r="AT42" i="12"/>
  <c r="AQ42" i="12"/>
  <c r="AD42" i="12"/>
  <c r="AP42" i="12"/>
  <c r="L42" i="12"/>
  <c r="AS42" i="12"/>
  <c r="Y42" i="12"/>
  <c r="K42" i="12"/>
  <c r="AH42" i="12"/>
  <c r="A43" i="12" a="1"/>
  <c r="U42" i="12" l="1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S43" i="12" s="1"/>
  <c r="A44" i="12" a="1"/>
  <c r="T43" i="12" l="1"/>
  <c r="U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P45" i="12" l="1"/>
  <c r="U45" i="12"/>
  <c r="T45" i="12"/>
  <c r="V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Q47" i="12" s="1"/>
  <c r="AA47" i="12"/>
  <c r="K47" i="12"/>
  <c r="AB47" i="12"/>
  <c r="J47" i="12"/>
  <c r="AP47" i="12"/>
  <c r="A48" i="12" a="1"/>
  <c r="T47" i="12" l="1"/>
  <c r="N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Q48" i="12" l="1"/>
  <c r="T48" i="12"/>
  <c r="U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N49" i="12" l="1"/>
  <c r="V49" i="12"/>
  <c r="U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S52" i="12" l="1"/>
  <c r="P52" i="12"/>
  <c r="N52" i="12"/>
  <c r="T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O53" i="12" l="1"/>
  <c r="V53" i="12"/>
  <c r="Q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V54" i="12" s="1"/>
  <c r="A55" i="12" a="1"/>
  <c r="P54" i="12" l="1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T55" i="12" l="1"/>
  <c r="N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R57" i="12" l="1"/>
  <c r="Q57" i="12"/>
  <c r="O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V58" i="12" s="1"/>
  <c r="A59" i="12" a="1"/>
  <c r="Q58" i="12" l="1"/>
  <c r="U58" i="12"/>
  <c r="P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R60" i="12" s="1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P60" i="12"/>
  <c r="A61" i="12"/>
  <c r="AU60" i="12"/>
  <c r="N60" i="12"/>
  <c r="O60" i="12"/>
  <c r="AI60" i="12"/>
  <c r="M60" i="12"/>
  <c r="W60" i="12" s="1"/>
  <c r="S60" i="12"/>
  <c r="U60" i="12"/>
  <c r="G60" i="12"/>
  <c r="H60" i="12"/>
  <c r="F60" i="12"/>
  <c r="Q60" i="12"/>
  <c r="T60" i="12"/>
  <c r="AS61" i="12" l="1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U61" i="12" s="1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U63" i="12" l="1"/>
  <c r="Q63" i="12"/>
  <c r="N63" i="12"/>
  <c r="V63" i="12"/>
  <c r="S63" i="12"/>
  <c r="O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U64" i="12" s="1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Q64" i="12" l="1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R65" i="12" l="1"/>
  <c r="P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R66" i="12" l="1"/>
  <c r="N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S67" i="12" s="1"/>
  <c r="A68" i="12" a="1"/>
  <c r="U67" i="12" l="1"/>
  <c r="V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O69" i="12" s="1"/>
  <c r="AO69" i="12"/>
  <c r="AQ69" i="12"/>
  <c r="C69" i="12"/>
  <c r="Z69" i="12"/>
  <c r="I69" i="12"/>
  <c r="AF69" i="12"/>
  <c r="AP69" i="12"/>
  <c r="A70" i="12" a="1"/>
  <c r="P69" i="12" l="1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V73" i="12" s="1"/>
  <c r="AE73" i="12"/>
  <c r="AG73" i="12"/>
  <c r="AS73" i="12"/>
  <c r="AC73" i="12"/>
  <c r="AM73" i="12"/>
  <c r="AL73" i="12"/>
  <c r="A74" i="12" a="1"/>
  <c r="O73" i="12" l="1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N75" i="12" s="1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Q75" i="12" l="1"/>
  <c r="V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N76" i="12" l="1"/>
  <c r="V76" i="12"/>
  <c r="T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U77" i="12" s="1"/>
  <c r="E77" i="12"/>
  <c r="D77" i="12"/>
  <c r="AF77" i="12"/>
  <c r="AO77" i="12"/>
  <c r="B77" i="12"/>
  <c r="A78" i="12" a="1"/>
  <c r="R77" i="12" l="1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N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T82" i="12" l="1"/>
  <c r="O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AU86" i="12" s="1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P86" i="12" l="1"/>
  <c r="T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Q87" i="12" l="1"/>
  <c r="N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P88" i="12"/>
  <c r="O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S89" i="12" s="1"/>
  <c r="K89" i="12"/>
  <c r="AC89" i="12"/>
  <c r="AM89" i="12"/>
  <c r="A90" i="12" a="1"/>
  <c r="R89" i="12" l="1"/>
  <c r="T89" i="12"/>
  <c r="P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P96" i="12" l="1"/>
  <c r="Q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V97" i="12" l="1"/>
  <c r="N97" i="12"/>
  <c r="U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Q100" i="12" l="1"/>
  <c r="O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AA101" i="12"/>
  <c r="Z101" i="12"/>
  <c r="J101" i="12"/>
  <c r="AN101" i="12"/>
  <c r="A102" i="12" a="1"/>
  <c r="R101" i="12" l="1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N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P104" i="12" l="1"/>
  <c r="N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Q105" i="12" l="1"/>
  <c r="U105" i="12"/>
  <c r="N105" i="12"/>
  <c r="P105" i="12"/>
  <c r="S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N107" i="12" l="1"/>
  <c r="S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O108" i="12"/>
  <c r="U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S111" i="12"/>
  <c r="V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S115" i="12" l="1"/>
  <c r="R115" i="12"/>
  <c r="Q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V117" i="12" l="1"/>
  <c r="Q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R118" i="12" l="1"/>
  <c r="S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U120" i="12" l="1"/>
  <c r="V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Q122" i="12" l="1"/>
  <c r="O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T126" i="12" s="1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N126" i="12" l="1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R127" i="12" l="1"/>
  <c r="U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P128" i="12" l="1"/>
  <c r="O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P131" i="12" s="1"/>
  <c r="D131" i="12"/>
  <c r="AQ131" i="12"/>
  <c r="Y131" i="12"/>
  <c r="E131" i="12"/>
  <c r="I131" i="12"/>
  <c r="C131" i="12"/>
  <c r="AF131" i="12"/>
  <c r="AE131" i="12"/>
  <c r="A132" i="12" a="1"/>
  <c r="U131" i="12" l="1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V133" i="12" s="1"/>
  <c r="L133" i="12"/>
  <c r="AP133" i="12"/>
  <c r="AN133" i="12"/>
  <c r="AF133" i="12"/>
  <c r="AS133" i="12"/>
  <c r="A134" i="12" a="1"/>
  <c r="P133" i="12" l="1"/>
  <c r="R133" i="12"/>
  <c r="N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S134" i="12" l="1"/>
  <c r="V134" i="12"/>
  <c r="P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S135" i="12" s="1"/>
  <c r="C135" i="12"/>
  <c r="AC135" i="12"/>
  <c r="Y135" i="12"/>
  <c r="AF135" i="12"/>
  <c r="Z135" i="12"/>
  <c r="L135" i="12"/>
  <c r="AM135" i="12"/>
  <c r="E135" i="12"/>
  <c r="AG135" i="12"/>
  <c r="A136" i="12" a="1"/>
  <c r="T135" i="12" l="1"/>
  <c r="P135" i="12"/>
  <c r="O135" i="12"/>
  <c r="U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S138" i="12" s="1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Q139" i="12" l="1"/>
  <c r="O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V140" i="12" l="1"/>
  <c r="Q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Q141" i="12" l="1"/>
  <c r="S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P145" i="12"/>
  <c r="O145" i="12"/>
  <c r="T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U146" i="12"/>
  <c r="Q146" i="12"/>
  <c r="N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U151" i="12" s="1"/>
  <c r="AG151" i="12"/>
  <c r="I151" i="12"/>
  <c r="L151" i="12"/>
  <c r="AT151" i="12"/>
  <c r="D151" i="12"/>
  <c r="A152" i="12" a="1"/>
  <c r="U151" i="12" l="1"/>
  <c r="R151" i="12"/>
  <c r="T151" i="12"/>
  <c r="P151" i="12"/>
  <c r="O151" i="12"/>
  <c r="N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S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O153" i="12"/>
  <c r="T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P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S158" i="12" l="1"/>
  <c r="R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P161" i="12" l="1"/>
  <c r="U161" i="12"/>
  <c r="R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T162" i="12" l="1"/>
  <c r="P162" i="12"/>
  <c r="Q162" i="12"/>
  <c r="U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V163" i="12" l="1"/>
  <c r="P163" i="12"/>
  <c r="N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R165" i="12" l="1"/>
  <c r="U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R166" i="12" s="1"/>
  <c r="A167" i="12" a="1"/>
  <c r="O166" i="12" l="1"/>
  <c r="P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O167" i="12" l="1"/>
  <c r="P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P168" i="12" l="1"/>
  <c r="O168" i="12"/>
  <c r="V168" i="12"/>
  <c r="Q168" i="12"/>
  <c r="U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AN170" i="12"/>
  <c r="AR170" i="12"/>
  <c r="AF170" i="12"/>
  <c r="AA170" i="12"/>
  <c r="AP170" i="12"/>
  <c r="AD170" i="12"/>
  <c r="AS170" i="12"/>
  <c r="C170" i="12"/>
  <c r="A171" i="12" a="1"/>
  <c r="Q170" i="12" l="1"/>
  <c r="N170" i="12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P172" i="12" s="1"/>
  <c r="A173" i="12" a="1"/>
  <c r="T172" i="12" l="1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R173" i="12" l="1"/>
  <c r="T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Q174" i="12" s="1"/>
  <c r="A175" i="12" a="1"/>
  <c r="S174" i="12" l="1"/>
  <c r="P174" i="12"/>
  <c r="O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T175" i="12" l="1"/>
  <c r="S175" i="12"/>
  <c r="Q175" i="12"/>
  <c r="N175" i="12"/>
  <c r="U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N177" i="12" l="1"/>
  <c r="V177" i="12"/>
  <c r="O177" i="12"/>
  <c r="Q177" i="12"/>
  <c r="R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P179" i="12" l="1"/>
  <c r="V179" i="12"/>
  <c r="N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Q180" i="12" l="1"/>
  <c r="S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AU183" i="12" s="1"/>
  <c r="L183" i="12"/>
  <c r="AN183" i="12"/>
  <c r="AR183" i="12"/>
  <c r="K183" i="12"/>
  <c r="AA183" i="12"/>
  <c r="A184" i="12" a="1"/>
  <c r="V183" i="12" l="1"/>
  <c r="Q183" i="12"/>
  <c r="P183" i="12"/>
  <c r="O183" i="12"/>
  <c r="N183" i="12"/>
  <c r="T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AU185" i="12" s="1"/>
  <c r="Z185" i="12"/>
  <c r="C185" i="12"/>
  <c r="K185" i="12"/>
  <c r="AA185" i="12"/>
  <c r="AE185" i="12"/>
  <c r="E185" i="12"/>
  <c r="AS185" i="12"/>
  <c r="A186" i="12" a="1"/>
  <c r="O185" i="12" l="1"/>
  <c r="N185" i="12"/>
  <c r="R185" i="12"/>
  <c r="V185" i="12"/>
  <c r="Q185" i="12"/>
  <c r="P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V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P190" i="12"/>
  <c r="N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R191" i="12"/>
  <c r="Q191" i="12"/>
  <c r="P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Q192" i="12"/>
  <c r="P192" i="12"/>
  <c r="R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S195" i="12"/>
  <c r="P195" i="12"/>
  <c r="U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R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U197" i="12" l="1"/>
  <c r="N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S198" i="12" l="1"/>
  <c r="U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R199" i="12" l="1"/>
  <c r="O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S200" i="12" l="1"/>
  <c r="N200" i="12"/>
  <c r="R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O201" i="12"/>
  <c r="N201" i="12"/>
  <c r="V201" i="12"/>
  <c r="T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U203" i="12" l="1"/>
  <c r="R203" i="12"/>
  <c r="O203" i="12"/>
  <c r="P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P204" i="12" l="1"/>
  <c r="N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N205" i="12" l="1"/>
  <c r="R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S207" i="12"/>
  <c r="N207" i="12"/>
  <c r="Q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U208" i="12" l="1"/>
  <c r="O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Q210" i="12" s="1"/>
  <c r="AH210" i="12"/>
  <c r="AT210" i="12"/>
  <c r="AR210" i="12"/>
  <c r="J210" i="12"/>
  <c r="AF210" i="12"/>
  <c r="T210" i="12" s="1"/>
  <c r="A211" i="12" a="1"/>
  <c r="P210" i="12" l="1"/>
  <c r="O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Q211" i="12" s="1"/>
  <c r="Y211" i="12"/>
  <c r="AP211" i="12"/>
  <c r="E211" i="12"/>
  <c r="I211" i="12"/>
  <c r="AH211" i="12"/>
  <c r="A212" i="12" a="1"/>
  <c r="V211" i="12" l="1"/>
  <c r="O211" i="12"/>
  <c r="P211" i="12"/>
  <c r="R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N212" i="12" l="1"/>
  <c r="Q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R213" i="12" l="1"/>
  <c r="U213" i="12"/>
  <c r="Q213" i="12"/>
  <c r="N213" i="12"/>
  <c r="P213" i="12"/>
  <c r="O213" i="12"/>
  <c r="V213" i="12"/>
  <c r="A214" i="12"/>
  <c r="G213" i="12"/>
  <c r="F213" i="12"/>
  <c r="H213" i="12"/>
  <c r="T213" i="12"/>
  <c r="AI213" i="12"/>
  <c r="M213" i="12"/>
  <c r="W213" i="12" s="1"/>
  <c r="AU213" i="12"/>
  <c r="S213" i="12"/>
  <c r="AR214" i="12" l="1"/>
  <c r="AG214" i="12"/>
  <c r="B214" i="12"/>
  <c r="D214" i="12"/>
  <c r="AE214" i="12"/>
  <c r="AK214" i="12"/>
  <c r="AL214" i="12"/>
  <c r="L214" i="12"/>
  <c r="AF214" i="12"/>
  <c r="T214" i="12" s="1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P214" i="12" l="1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O215" i="12" l="1"/>
  <c r="T215" i="12"/>
  <c r="Q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N216" i="12" l="1"/>
  <c r="O216" i="12"/>
  <c r="V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Q217" i="12" l="1"/>
  <c r="P217" i="12"/>
  <c r="N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V218" i="12" s="1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T218" i="12" l="1"/>
  <c r="U218" i="12"/>
  <c r="S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O220" i="12" l="1"/>
  <c r="Q220" i="12"/>
  <c r="N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N222" i="12" l="1"/>
  <c r="P222" i="12"/>
  <c r="U222" i="12"/>
  <c r="S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U223" i="12" s="1"/>
  <c r="Y223" i="12"/>
  <c r="A224" i="12" a="1"/>
  <c r="S223" i="12" l="1"/>
  <c r="O223" i="12"/>
  <c r="T223" i="12"/>
  <c r="V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P228" i="12" s="1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O228" i="12" l="1"/>
  <c r="N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P229" i="12" l="1"/>
  <c r="V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T231" i="12" l="1"/>
  <c r="V231" i="12"/>
  <c r="R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R234" i="12" s="1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V235" i="12" s="1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N235" i="12" l="1"/>
  <c r="O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S236" i="12" l="1"/>
  <c r="U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R237" i="12" s="1"/>
  <c r="C237" i="12"/>
  <c r="AR237" i="12"/>
  <c r="Z237" i="12"/>
  <c r="AN237" i="12"/>
  <c r="E237" i="12"/>
  <c r="Y237" i="12"/>
  <c r="A238" i="12" a="1"/>
  <c r="T237" i="12" l="1"/>
  <c r="P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R238" i="12" l="1"/>
  <c r="V238" i="12"/>
  <c r="N238" i="12"/>
  <c r="T238" i="12"/>
  <c r="Q238" i="12"/>
  <c r="U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V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Q240" i="12" s="1"/>
  <c r="AS240" i="12"/>
  <c r="AB240" i="12"/>
  <c r="AM240" i="12"/>
  <c r="Y240" i="12"/>
  <c r="AN240" i="12"/>
  <c r="A241" i="12" a="1"/>
  <c r="V240" i="12" l="1"/>
  <c r="O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A242" i="12" a="1"/>
  <c r="Q241" i="12" l="1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Q242" i="12" l="1"/>
  <c r="S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O243" i="12" l="1"/>
  <c r="R243" i="12"/>
  <c r="S243" i="12"/>
  <c r="N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AA245" i="12"/>
  <c r="L245" i="12"/>
  <c r="AS245" i="12"/>
  <c r="AF245" i="12"/>
  <c r="A246" i="12" a="1"/>
  <c r="V245" i="12" l="1"/>
  <c r="N245" i="12"/>
  <c r="Q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N246" i="12" s="1"/>
  <c r="AO246" i="12"/>
  <c r="J246" i="12"/>
  <c r="AB246" i="12"/>
  <c r="AC246" i="12"/>
  <c r="AS246" i="12"/>
  <c r="AA246" i="12"/>
  <c r="A247" i="12" a="1"/>
  <c r="U246" i="12" l="1"/>
  <c r="P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T249" i="12" s="1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S250" i="12" s="1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A254" i="12" a="1"/>
  <c r="U253" i="12" l="1"/>
  <c r="O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U254" i="12" l="1"/>
  <c r="V254" i="12"/>
  <c r="O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O255" i="12" s="1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P255" i="12" l="1"/>
  <c r="U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S256" i="12" l="1"/>
  <c r="O256" i="12"/>
  <c r="N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P258" i="12" s="1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V258" i="12" l="1"/>
  <c r="N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S259" i="12" l="1"/>
  <c r="R259" i="12"/>
  <c r="Q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P260" i="12" s="1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P261" i="12" s="1"/>
  <c r="AH261" i="12"/>
  <c r="Z261" i="12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N261" i="12" l="1"/>
  <c r="U261" i="12"/>
  <c r="O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P262" i="12" l="1"/>
  <c r="S262" i="12"/>
  <c r="R262" i="12"/>
  <c r="O262" i="12"/>
  <c r="Q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P263" i="12" l="1"/>
  <c r="V263" i="12"/>
  <c r="U263" i="12"/>
  <c r="R263" i="12"/>
  <c r="N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V264" i="12" s="1"/>
  <c r="A265" i="12" a="1"/>
  <c r="S264" i="12" l="1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U266" i="12"/>
  <c r="R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N268" i="12" s="1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O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Q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R270" i="12" s="1"/>
  <c r="A271" i="12" a="1"/>
  <c r="S270" i="12" l="1"/>
  <c r="U270" i="12"/>
  <c r="O270" i="12"/>
  <c r="N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U271" i="12"/>
  <c r="P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V272" i="12" s="1"/>
  <c r="AE272" i="12"/>
  <c r="D272" i="12"/>
  <c r="AQ272" i="12"/>
  <c r="AD272" i="12"/>
  <c r="R272" i="12" s="1"/>
  <c r="L272" i="12"/>
  <c r="A273" i="12" a="1"/>
  <c r="Q272" i="12" l="1"/>
  <c r="U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P274" i="12" l="1"/>
  <c r="Q274" i="12"/>
  <c r="T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U275" i="12" s="1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Q276" i="12" l="1"/>
  <c r="S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O278" i="12"/>
  <c r="U278" i="12"/>
  <c r="R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S279" i="12" s="1"/>
  <c r="A280" i="12" a="1"/>
  <c r="N279" i="12" l="1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P282" i="12" l="1"/>
  <c r="R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S283" i="12" s="1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N283" i="12" l="1"/>
  <c r="P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V284" i="12" s="1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R284" i="12" s="1"/>
  <c r="B284" i="12"/>
  <c r="AK284" i="12"/>
  <c r="AT284" i="12"/>
  <c r="AC284" i="12"/>
  <c r="I284" i="12"/>
  <c r="A285" i="12" a="1"/>
  <c r="N284" i="12" l="1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AU286" i="12" s="1"/>
  <c r="K286" i="12"/>
  <c r="Z286" i="12"/>
  <c r="AF286" i="12"/>
  <c r="Y286" i="12"/>
  <c r="AQ286" i="12"/>
  <c r="AO286" i="12"/>
  <c r="AL286" i="12"/>
  <c r="AC286" i="12"/>
  <c r="Q286" i="12" s="1"/>
  <c r="B286" i="12"/>
  <c r="AG286" i="12"/>
  <c r="D286" i="12"/>
  <c r="AT286" i="12"/>
  <c r="C286" i="12"/>
  <c r="AM286" i="12"/>
  <c r="A287" i="12" a="1"/>
  <c r="T286" i="12" l="1"/>
  <c r="O286" i="12"/>
  <c r="S286" i="12"/>
  <c r="V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P287" i="12" l="1"/>
  <c r="V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T288" i="12" s="1"/>
  <c r="Z288" i="12"/>
  <c r="AS288" i="12"/>
  <c r="AE288" i="12"/>
  <c r="AB288" i="12"/>
  <c r="AG288" i="12"/>
  <c r="U288" i="12" s="1"/>
  <c r="A289" i="12" a="1"/>
  <c r="Q288" i="12" l="1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R289" i="12"/>
  <c r="P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R292" i="12" l="1"/>
  <c r="N292" i="12"/>
  <c r="U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O293" i="12"/>
  <c r="T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R295" i="12" l="1"/>
  <c r="S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R297" i="12" l="1"/>
  <c r="U297" i="12"/>
  <c r="V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T298" i="12" s="1"/>
  <c r="AK298" i="12"/>
  <c r="AR298" i="12"/>
  <c r="AG298" i="12"/>
  <c r="D298" i="12"/>
  <c r="AH298" i="12"/>
  <c r="V298" i="12" s="1"/>
  <c r="A299" i="12" a="1"/>
  <c r="U298" i="12" l="1"/>
  <c r="S298" i="12"/>
  <c r="Q298" i="12"/>
  <c r="N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T299" i="12" s="1"/>
  <c r="AG299" i="12"/>
  <c r="AN299" i="12"/>
  <c r="AK299" i="12"/>
  <c r="AS299" i="12"/>
  <c r="AA299" i="12"/>
  <c r="A300" i="12" a="1"/>
  <c r="N299" i="12" l="1"/>
  <c r="V299" i="12"/>
  <c r="O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N300" i="12" s="1"/>
  <c r="AH300" i="12"/>
  <c r="L300" i="12"/>
  <c r="AA300" i="12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O300" i="12" l="1"/>
  <c r="V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<sst xmlns="http://schemas.openxmlformats.org/spreadsheetml/2006/main" count="2336" uniqueCount="1412">
  <si>
    <t>Employee ID</t>
  </si>
  <si>
    <t>Store</t>
  </si>
  <si>
    <t>Preferred Name</t>
  </si>
  <si>
    <t>Rostered Total</t>
  </si>
  <si>
    <t>Add</t>
  </si>
  <si>
    <t>Ord</t>
  </si>
  <si>
    <t>Sat</t>
  </si>
  <si>
    <t>Sun</t>
  </si>
  <si>
    <t>Pub</t>
  </si>
  <si>
    <t>Eve 1</t>
  </si>
  <si>
    <t>Eve 2</t>
  </si>
  <si>
    <t>No. of Shifts</t>
  </si>
  <si>
    <t>Personal Leave</t>
  </si>
  <si>
    <t>Annual Leave</t>
  </si>
  <si>
    <t>Unpaid Leave</t>
  </si>
  <si>
    <t>Adjusted Total</t>
  </si>
  <si>
    <t>Comment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</si>
  <si>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</si>
  <si>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</si>
  <si>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</si>
  <si>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</si>
  <si>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</si>
  <si>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</si>
  <si>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</si>
  <si>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</si>
  <si>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</si>
  <si>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</si>
  <si>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</si>
  <si>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</si>
  <si>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</si>
  <si>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</si>
  <si>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Martin Place</t>
  </si>
  <si>
    <t>Ziv Cheng</t>
  </si>
  <si>
    <t>No break/Meeting/Roster</t>
  </si>
  <si>
    <t>Ava Chiang</t>
  </si>
  <si>
    <t>Simon Lu</t>
  </si>
  <si>
    <t>Jordan Tan</t>
  </si>
  <si>
    <t>No break</t>
  </si>
  <si>
    <t>Lina Do</t>
  </si>
  <si>
    <t>First Name</t>
  </si>
  <si>
    <t>Last Name</t>
  </si>
  <si>
    <t>Date of Birth</t>
  </si>
  <si>
    <t>Update Wage</t>
  </si>
  <si>
    <t>Hour Threshold</t>
  </si>
  <si>
    <t>Labour Hire</t>
  </si>
  <si>
    <t>Operator</t>
  </si>
  <si>
    <t>Total</t>
  </si>
  <si>
    <t>Week1 Total</t>
  </si>
  <si>
    <t>Week 2 Total</t>
  </si>
  <si>
    <t>Company</t>
  </si>
  <si>
    <t>Level</t>
  </si>
  <si>
    <t>Chien Han</t>
  </si>
  <si>
    <t>Lee</t>
  </si>
  <si>
    <t>Ryan Lee</t>
  </si>
  <si>
    <t>GCM</t>
  </si>
  <si>
    <t>Level 3</t>
  </si>
  <si>
    <t>Chih-Ching</t>
  </si>
  <si>
    <t>Hsu</t>
  </si>
  <si>
    <t>Sharon Hsu</t>
  </si>
  <si>
    <t>Ching Yi</t>
  </si>
  <si>
    <t>Huang</t>
  </si>
  <si>
    <t>Amilli Huang</t>
  </si>
  <si>
    <t>Dan</t>
  </si>
  <si>
    <t>Yi</t>
  </si>
  <si>
    <t>Dan Yi</t>
  </si>
  <si>
    <t>Di</t>
  </si>
  <si>
    <t>Niu</t>
  </si>
  <si>
    <t>Jodie Niu</t>
  </si>
  <si>
    <t>Dianyu</t>
  </si>
  <si>
    <t>Wang</t>
  </si>
  <si>
    <t>Shephard wang</t>
  </si>
  <si>
    <t>SS</t>
  </si>
  <si>
    <t>Elissa</t>
  </si>
  <si>
    <t>Zhang</t>
  </si>
  <si>
    <t>Elissa Zhang</t>
  </si>
  <si>
    <t>Elsie</t>
  </si>
  <si>
    <t>Chan</t>
  </si>
  <si>
    <t>Elsie Chan</t>
  </si>
  <si>
    <t>Emon</t>
  </si>
  <si>
    <t>Peng</t>
  </si>
  <si>
    <t>Emon Peng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</si>
  <si>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</si>
  <si>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</si>
  <si>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</si>
  <si>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</si>
  <si>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</si>
  <si>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</si>
  <si>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</si>
  <si>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</si>
  <si>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</si>
  <si>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</si>
  <si>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</si>
  <si>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Hanna</t>
  </si>
  <si>
    <t>Jeong</t>
  </si>
  <si>
    <t>Hanna Jeong</t>
  </si>
  <si>
    <t>Haoxi</t>
  </si>
  <si>
    <t>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</si>
  <si>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</si>
  <si>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</si>
  <si>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</si>
  <si>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</si>
  <si>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</si>
  <si>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</si>
  <si>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</si>
  <si>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</si>
  <si>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</si>
  <si>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</si>
  <si>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</si>
  <si>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</si>
  <si>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</si>
  <si>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</si>
  <si>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Jiayu He</t>
  </si>
  <si>
    <t>Jie</t>
  </si>
  <si>
    <t>Genny Liu</t>
  </si>
  <si>
    <t>Jingwen</t>
  </si>
  <si>
    <t>Chen</t>
  </si>
  <si>
    <t>Jingwen Chen</t>
  </si>
  <si>
    <t>Jinyi</t>
  </si>
  <si>
    <t>Wu</t>
  </si>
  <si>
    <t>Kunlawach</t>
  </si>
  <si>
    <t>Aroonwing</t>
  </si>
  <si>
    <t>Jayden Aroonwing</t>
  </si>
  <si>
    <t>LINGYI</t>
  </si>
  <si>
    <t>LIU</t>
  </si>
  <si>
    <t>Aurora Liu</t>
  </si>
  <si>
    <t>Mohan</t>
  </si>
  <si>
    <t>Li</t>
  </si>
  <si>
    <t>Mohan Li</t>
  </si>
  <si>
    <t>Nancy</t>
  </si>
  <si>
    <t>Nancy Huang</t>
  </si>
  <si>
    <t>Onnida</t>
  </si>
  <si>
    <t>Tantinijkun</t>
  </si>
  <si>
    <t>Onny Tantinijkun</t>
  </si>
  <si>
    <t>MSC</t>
  </si>
  <si>
    <t>Phuong</t>
  </si>
  <si>
    <t>Le</t>
  </si>
  <si>
    <t>Phuong Le</t>
  </si>
  <si>
    <t>PO Yang</t>
  </si>
  <si>
    <t>Cheng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</si>
  <si>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</si>
  <si>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</si>
  <si>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</si>
  <si>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</si>
  <si>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</si>
  <si>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</si>
  <si>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</si>
  <si>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</si>
  <si>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</si>
  <si>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</si>
  <si>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</si>
  <si>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</si>
  <si>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</si>
  <si>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</si>
  <si>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</si>
  <si>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</si>
  <si>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Shun Lai Thiri</t>
  </si>
  <si>
    <t>Siew Wei</t>
  </si>
  <si>
    <t>Liew</t>
  </si>
  <si>
    <t>Sylvia Liew</t>
  </si>
  <si>
    <t>Su Myat</t>
  </si>
  <si>
    <t>Than Cin</t>
  </si>
  <si>
    <t>Su Myat Than Cin</t>
  </si>
  <si>
    <t>Tianshuo</t>
  </si>
  <si>
    <t>Kris Liu</t>
  </si>
  <si>
    <t>Tran Thu Hang</t>
  </si>
  <si>
    <t>Vu</t>
  </si>
  <si>
    <t>Zoe Vu</t>
  </si>
  <si>
    <t>Treerut</t>
  </si>
  <si>
    <t>Thadthai</t>
  </si>
  <si>
    <t>Bonnie Thadthai</t>
  </si>
  <si>
    <t>Van My</t>
  </si>
  <si>
    <t>Nguyen</t>
  </si>
  <si>
    <t>Van My Nguyen</t>
  </si>
  <si>
    <t>Wai Ching Catherine</t>
  </si>
  <si>
    <t>Choi</t>
  </si>
  <si>
    <t>Catherine Choi</t>
  </si>
  <si>
    <t>Wai Jet</t>
  </si>
  <si>
    <t>Lim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</si>
  <si>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</si>
  <si>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</si>
  <si>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</si>
  <si>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</si>
  <si>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</si>
  <si>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</si>
  <si>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</si>
  <si>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</si>
  <si>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</si>
  <si>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</si>
  <si>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</si>
  <si>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Yang</t>
  </si>
  <si>
    <t>Wylla Wang</t>
  </si>
  <si>
    <t>Antonio Zhang</t>
  </si>
  <si>
    <t>Yeyu</t>
  </si>
  <si>
    <t>Deng</t>
  </si>
  <si>
    <t>Derek Deng</t>
  </si>
  <si>
    <t>Yi-Jing</t>
  </si>
  <si>
    <t>Yijing Huang</t>
  </si>
  <si>
    <t>Yiran</t>
  </si>
  <si>
    <t>EOS Zhang</t>
  </si>
  <si>
    <t>Yu</t>
  </si>
  <si>
    <t>Aurie Lee</t>
  </si>
  <si>
    <t>Yue</t>
  </si>
  <si>
    <t>Xiao</t>
  </si>
  <si>
    <t>Kayla Xiao</t>
  </si>
  <si>
    <t>ZiYao</t>
  </si>
  <si>
    <t>Kyle Liu</t>
  </si>
  <si>
    <t>Han-Chun</t>
  </si>
  <si>
    <t>Lin</t>
  </si>
  <si>
    <t>Jennifer Lin</t>
  </si>
  <si>
    <t>Chiao</t>
  </si>
  <si>
    <t>Rotsakon</t>
  </si>
  <si>
    <t>Surisihasathian</t>
  </si>
  <si>
    <t>Riley Surisihasathian</t>
  </si>
  <si>
    <t>Adrian</t>
  </si>
  <si>
    <t>Adrian Lim</t>
  </si>
  <si>
    <t>HL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</si>
  <si>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</si>
  <si>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</si>
  <si>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</si>
  <si>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</si>
  <si>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</si>
  <si>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</si>
  <si>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</si>
  <si>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</si>
  <si>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</si>
  <si>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</si>
  <si>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</si>
  <si>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</si>
  <si>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</si>
  <si>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</si>
  <si>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</si>
  <si>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</si>
  <si>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</si>
  <si>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</si>
  <si>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</si>
  <si>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</si>
  <si>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</si>
  <si>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</si>
  <si>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</si>
  <si>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</si>
  <si>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</si>
  <si>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</si>
  <si>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</si>
  <si>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</si>
  <si>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</si>
  <si>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</si>
  <si>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</si>
  <si>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</si>
  <si>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</si>
  <si>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</si>
  <si>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</si>
  <si>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</si>
  <si>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</si>
  <si>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</si>
  <si>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</si>
  <si>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</si>
  <si>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 Peng</t>
  </si>
  <si>
    <t>David</t>
  </si>
  <si>
    <t>Cheav</t>
  </si>
  <si>
    <t>Derik Phan</t>
  </si>
  <si>
    <t>Truong</t>
  </si>
  <si>
    <t>Derik</t>
  </si>
  <si>
    <t>Duyen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</si>
  <si>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</si>
  <si>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</si>
  <si>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</si>
  <si>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</si>
  <si>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</si>
  <si>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</si>
  <si>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</si>
  <si>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</si>
  <si>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</si>
  <si>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</si>
  <si>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</si>
  <si>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</si>
  <si>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</si>
  <si>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</si>
  <si>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</si>
  <si>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</si>
  <si>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</si>
  <si>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</si>
  <si>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</si>
  <si>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</si>
  <si>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</si>
  <si>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Hangji</t>
  </si>
  <si>
    <t>Zhao</t>
  </si>
  <si>
    <t>Harrison Zhao</t>
  </si>
  <si>
    <t>Henry</t>
  </si>
  <si>
    <t>Henry N</t>
  </si>
  <si>
    <t>HOOI</t>
  </si>
  <si>
    <t>LIM</t>
  </si>
  <si>
    <t>Wei Wei</t>
  </si>
  <si>
    <t>Hsin-Yi</t>
  </si>
  <si>
    <t>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</si>
  <si>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</si>
  <si>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</si>
  <si>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</si>
  <si>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</si>
  <si>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</si>
  <si>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</si>
  <si>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</si>
  <si>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</si>
  <si>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</si>
  <si>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</si>
  <si>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</si>
  <si>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</si>
  <si>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</si>
  <si>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</si>
  <si>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</si>
  <si>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</si>
  <si>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</si>
  <si>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Wei</t>
  </si>
  <si>
    <t>Mini</t>
  </si>
  <si>
    <t>Jimmy</t>
  </si>
  <si>
    <t>Huynh</t>
  </si>
  <si>
    <t>Jimmy Huynh</t>
  </si>
  <si>
    <t>Jinyi Wu</t>
    <phoneticPr fontId="2" type="noConversion"/>
  </si>
  <si>
    <t>Joma</t>
  </si>
  <si>
    <t>Velasco</t>
  </si>
  <si>
    <t>Joma velasco</t>
  </si>
  <si>
    <t>Jun</t>
  </si>
  <si>
    <t>Deven chen</t>
  </si>
  <si>
    <t>Justin</t>
  </si>
  <si>
    <t>Roxas</t>
  </si>
  <si>
    <t>Justin Roxas</t>
  </si>
  <si>
    <t>Kaiceryn</t>
  </si>
  <si>
    <t>Cantre</t>
  </si>
  <si>
    <t>Kaiceryn 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</si>
  <si>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</si>
  <si>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</si>
  <si>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</si>
  <si>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</si>
  <si>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</si>
  <si>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</si>
  <si>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</si>
  <si>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</si>
  <si>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</si>
  <si>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</si>
  <si>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</si>
  <si>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</si>
  <si>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</si>
  <si>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</si>
  <si>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</si>
  <si>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</si>
  <si>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</si>
  <si>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</si>
  <si>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</si>
  <si>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</si>
  <si>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</si>
  <si>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</si>
  <si>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</si>
  <si>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</si>
  <si>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</si>
  <si>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</si>
  <si>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</si>
  <si>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</si>
  <si>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</si>
  <si>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</si>
  <si>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</si>
  <si>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</si>
  <si>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</si>
  <si>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</si>
  <si>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</si>
  <si>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Cherry Lin</t>
  </si>
  <si>
    <t>Ming Chen</t>
  </si>
  <si>
    <t>Joseph Li</t>
  </si>
  <si>
    <t>Minh Nguyet Amy</t>
  </si>
  <si>
    <t>Amy Vu</t>
  </si>
  <si>
    <t>Namrata</t>
  </si>
  <si>
    <t>Namrata Gurung</t>
  </si>
  <si>
    <t>Naomi</t>
  </si>
  <si>
    <t>Naomi Lee</t>
  </si>
  <si>
    <t>Ngoc</t>
  </si>
  <si>
    <t>Ngoc Thuy Vy Nguyen</t>
  </si>
  <si>
    <t>Ngoc Phuong</t>
  </si>
  <si>
    <t>Ngoc Phuong Huynh</t>
  </si>
  <si>
    <t>Oscar</t>
  </si>
  <si>
    <t>Ashcroft</t>
  </si>
  <si>
    <t>Oscar Ashcroft</t>
  </si>
  <si>
    <t>Ouksa</t>
  </si>
  <si>
    <t>Sim</t>
  </si>
  <si>
    <t>Sim Ouksa</t>
  </si>
  <si>
    <t>Thu Phuong</t>
  </si>
  <si>
    <t>tran</t>
  </si>
  <si>
    <t>Andy Tran</t>
  </si>
  <si>
    <t>Qiaoyan</t>
  </si>
  <si>
    <t>Alice yu</t>
  </si>
  <si>
    <t>Qinchang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</si>
  <si>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</si>
  <si>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</si>
  <si>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</si>
  <si>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</si>
  <si>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</si>
  <si>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</si>
  <si>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</si>
  <si>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</si>
  <si>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</si>
  <si>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</si>
  <si>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Serena Giang</t>
    <phoneticPr fontId="2" type="noConversion"/>
  </si>
  <si>
    <t>Shameng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</si>
  <si>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</si>
  <si>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</si>
  <si>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</si>
  <si>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</si>
  <si>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</si>
  <si>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</si>
  <si>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</si>
  <si>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</si>
  <si>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</si>
  <si>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</si>
  <si>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</si>
  <si>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</si>
  <si>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Shirley 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</si>
  <si>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</si>
  <si>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</si>
  <si>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</si>
  <si>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</si>
  <si>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</si>
  <si>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</si>
  <si>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</si>
  <si>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</si>
  <si>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</si>
  <si>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</si>
  <si>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</si>
  <si>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</si>
  <si>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</si>
  <si>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</si>
  <si>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</si>
  <si>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</si>
  <si>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</si>
  <si>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</si>
  <si>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</si>
  <si>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</si>
  <si>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</si>
  <si>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</si>
  <si>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</si>
  <si>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</si>
  <si>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</si>
  <si>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</si>
  <si>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</si>
  <si>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</si>
  <si>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</si>
  <si>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</si>
  <si>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</si>
  <si>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</si>
  <si>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</si>
  <si>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</si>
  <si>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</si>
  <si>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</si>
  <si>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</si>
  <si>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Zishan Xie</t>
  </si>
  <si>
    <t>Zizhuo</t>
  </si>
  <si>
    <t>Tom Zhang</t>
  </si>
  <si>
    <t>Duc Minh</t>
  </si>
  <si>
    <t>Pham</t>
  </si>
  <si>
    <t>Victor Pham</t>
  </si>
  <si>
    <t>28/10/2001</t>
  </si>
  <si>
    <t>Jiazheng</t>
  </si>
  <si>
    <t>Xian</t>
  </si>
  <si>
    <t>Donald Xian</t>
  </si>
  <si>
    <t>Qianyu</t>
  </si>
  <si>
    <t>Carrie Liu</t>
    <phoneticPr fontId="2" type="noConversion"/>
  </si>
  <si>
    <t>Chau Kim</t>
  </si>
  <si>
    <t>Quach</t>
  </si>
  <si>
    <t>Chau</t>
    <phoneticPr fontId="2" type="noConversion"/>
  </si>
  <si>
    <t>HL</t>
    <phoneticPr fontId="2" type="noConversion"/>
  </si>
  <si>
    <t>Kaiming</t>
    <phoneticPr fontId="2" type="noConversion"/>
  </si>
  <si>
    <t>Wang</t>
    <phoneticPr fontId="2" type="noConversion"/>
  </si>
  <si>
    <t>Ming Wang</t>
    <phoneticPr fontId="2" type="noConversion"/>
  </si>
  <si>
    <t>Wenzhe</t>
    <phoneticPr fontId="2" type="noConversion"/>
  </si>
  <si>
    <t>Tan</t>
    <phoneticPr fontId="2" type="noConversion"/>
  </si>
  <si>
    <t>Sam Tan</t>
    <phoneticPr fontId="2" type="noConversion"/>
  </si>
  <si>
    <t>Duy</t>
    <phoneticPr fontId="2" type="noConversion"/>
  </si>
  <si>
    <t>Chu</t>
    <phoneticPr fontId="2" type="noConversion"/>
  </si>
  <si>
    <t>Jim Chu</t>
  </si>
  <si>
    <t>GCM</t>
    <phoneticPr fontId="2" type="noConversion"/>
  </si>
  <si>
    <t>Pulin</t>
    <phoneticPr fontId="2" type="noConversion"/>
  </si>
  <si>
    <t>Pan</t>
    <phoneticPr fontId="2" type="noConversion"/>
  </si>
  <si>
    <t>Lexi Pan</t>
    <phoneticPr fontId="2" type="noConversion"/>
  </si>
  <si>
    <t>Zihan</t>
    <phoneticPr fontId="2" type="noConversion"/>
  </si>
  <si>
    <t>Amber Wang</t>
    <phoneticPr fontId="2" type="noConversion"/>
  </si>
  <si>
    <t>YINGJUN</t>
    <phoneticPr fontId="2" type="noConversion"/>
  </si>
  <si>
    <t>CHEN</t>
    <phoneticPr fontId="2" type="noConversion"/>
  </si>
  <si>
    <t>Cecilia Chen</t>
  </si>
  <si>
    <t>Lhakpa Diki</t>
    <phoneticPr fontId="2" type="noConversion"/>
  </si>
  <si>
    <t>Sherpa</t>
    <phoneticPr fontId="2" type="noConversion"/>
  </si>
  <si>
    <t>Lhakpa Diki Sherpa</t>
  </si>
  <si>
    <t>Lianjie</t>
    <phoneticPr fontId="2" type="noConversion"/>
  </si>
  <si>
    <t>Carol Pan</t>
    <phoneticPr fontId="2" type="noConversion"/>
  </si>
  <si>
    <t>xiaoqing</t>
    <phoneticPr fontId="2" type="noConversion"/>
  </si>
  <si>
    <t>jiang</t>
    <phoneticPr fontId="2" type="noConversion"/>
  </si>
  <si>
    <t>louisa Jiang</t>
  </si>
  <si>
    <t>Guifang</t>
    <phoneticPr fontId="2" type="noConversion"/>
  </si>
  <si>
    <t>Chen</t>
    <phoneticPr fontId="2" type="noConversion"/>
  </si>
  <si>
    <t>Guifang Chen</t>
  </si>
  <si>
    <t>Cam Tu</t>
  </si>
  <si>
    <t>Bui</t>
    <phoneticPr fontId="2" type="noConversion"/>
  </si>
  <si>
    <t>Lucy Bui</t>
    <phoneticPr fontId="2" type="noConversion"/>
  </si>
  <si>
    <t>Rhiannon Jayne</t>
  </si>
  <si>
    <t>Phillips</t>
  </si>
  <si>
    <t>Rhi Phillips</t>
  </si>
  <si>
    <t>Minjian</t>
  </si>
  <si>
    <t>Guan</t>
  </si>
  <si>
    <t>Maggie Guan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</si>
  <si>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</si>
  <si>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</si>
  <si>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</si>
  <si>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</si>
  <si>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</si>
  <si>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</si>
  <si>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</si>
  <si>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</si>
  <si>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</si>
  <si>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</si>
  <si>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Aily Ryu</t>
  </si>
  <si>
    <t>Nghiem vu</t>
  </si>
  <si>
    <t>Quoc</t>
  </si>
  <si>
    <t>Louis Quoc</t>
  </si>
  <si>
    <t>Kulika</t>
  </si>
  <si>
    <t>Arayangkoon</t>
  </si>
  <si>
    <t>Kuli Arayangkoon</t>
  </si>
  <si>
    <t>Tom Hin Chung</t>
  </si>
  <si>
    <t>Wong</t>
  </si>
  <si>
    <t>Tom Wong</t>
  </si>
  <si>
    <t>Cloey</t>
  </si>
  <si>
    <t>Cloey Nguyen</t>
  </si>
  <si>
    <t>Viet Hung- Toni</t>
  </si>
  <si>
    <t>Toni Nguyen</t>
  </si>
  <si>
    <t>Rebecca</t>
  </si>
  <si>
    <t>Olt</t>
  </si>
  <si>
    <t>Rebecca Olt</t>
  </si>
  <si>
    <t>Warantorn</t>
  </si>
  <si>
    <t>Rattanaudomsawat</t>
  </si>
  <si>
    <t>Tonfern Rattanaudomsawat</t>
  </si>
  <si>
    <t>Huishi</t>
  </si>
  <si>
    <t>Luchia Luo</t>
  </si>
  <si>
    <t>Sovanmonineath</t>
  </si>
  <si>
    <t>Nou</t>
  </si>
  <si>
    <t>Neath Nou</t>
  </si>
  <si>
    <t>Isabella</t>
  </si>
  <si>
    <t>Limjap</t>
  </si>
  <si>
    <t>Isabella Limjap</t>
  </si>
  <si>
    <t>Jiuri</t>
  </si>
  <si>
    <t>Palahang</t>
  </si>
  <si>
    <t>Jiuri Palahang</t>
  </si>
  <si>
    <t>Lihour</t>
  </si>
  <si>
    <t>Chhit</t>
  </si>
  <si>
    <t>Kevin Chhit</t>
  </si>
  <si>
    <t>Matthew</t>
  </si>
  <si>
    <t>Tang</t>
  </si>
  <si>
    <t>Matthew Tang</t>
  </si>
  <si>
    <t>Valeriia</t>
  </si>
  <si>
    <t>Zhdanova</t>
  </si>
  <si>
    <t>Valeriia Zhdanova</t>
  </si>
  <si>
    <t>Vo</t>
  </si>
  <si>
    <t>Hayley Vo</t>
  </si>
  <si>
    <t>Yaqin</t>
  </si>
  <si>
    <t>Raina Shan</t>
  </si>
  <si>
    <t>Shinta</t>
  </si>
  <si>
    <t>Permata Putri</t>
  </si>
  <si>
    <t>Shinta 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</si>
  <si>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</si>
  <si>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</si>
  <si>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</si>
  <si>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</si>
  <si>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</si>
  <si>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</si>
  <si>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</si>
  <si>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</si>
  <si>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</si>
  <si>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</si>
  <si>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Christine Yiu</t>
  </si>
  <si>
    <t>Denis</t>
  </si>
  <si>
    <t>Bong</t>
  </si>
  <si>
    <t>Denis Bong</t>
  </si>
  <si>
    <t>Milly Lin</t>
  </si>
  <si>
    <t>Suthyra</t>
  </si>
  <si>
    <t>Suthyra Lee</t>
  </si>
  <si>
    <t>Sungwoo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</si>
  <si>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</si>
  <si>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</si>
  <si>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</si>
  <si>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</si>
  <si>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</si>
  <si>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</si>
  <si>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</si>
  <si>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</si>
  <si>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</si>
  <si>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Bui</t>
  </si>
  <si>
    <t>Aidan Bui</t>
  </si>
  <si>
    <t>Joseph</t>
  </si>
  <si>
    <t>Nalty</t>
  </si>
  <si>
    <t>Joseph Nalty</t>
  </si>
  <si>
    <t>Thy</t>
  </si>
  <si>
    <t>Thy Nguyen</t>
  </si>
  <si>
    <t>Ha</t>
  </si>
  <si>
    <t>Tina Ha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</si>
  <si>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</si>
  <si>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</si>
  <si>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</si>
  <si>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</si>
  <si>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</si>
  <si>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</si>
  <si>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</si>
  <si>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Mengxin</t>
  </si>
  <si>
    <t>Mengxin Zhang</t>
  </si>
  <si>
    <t>Yuping</t>
  </si>
  <si>
    <t>Gu</t>
  </si>
  <si>
    <t>Crystal Gu</t>
  </si>
  <si>
    <t>YAO-KUN</t>
  </si>
  <si>
    <t>HUANG</t>
  </si>
  <si>
    <t>Henry Huang</t>
  </si>
  <si>
    <t>Elyssa</t>
  </si>
  <si>
    <t>Acallar</t>
  </si>
  <si>
    <t>Elyssa Acallar</t>
  </si>
  <si>
    <t>Akshat</t>
  </si>
  <si>
    <t>Bansal</t>
  </si>
  <si>
    <t>Akshat Bansal</t>
  </si>
  <si>
    <t>Yumo</t>
  </si>
  <si>
    <t>Alice Zhang</t>
  </si>
  <si>
    <t>Xinyu</t>
  </si>
  <si>
    <t>Cindy Deng</t>
  </si>
  <si>
    <t>Phornpimol</t>
  </si>
  <si>
    <t>Phowong</t>
  </si>
  <si>
    <t>Tong Phowong</t>
  </si>
  <si>
    <t>Alexander</t>
  </si>
  <si>
    <t>Lam</t>
  </si>
  <si>
    <t>Alex Lam</t>
  </si>
  <si>
    <t>Mikayla</t>
  </si>
  <si>
    <t>Perez</t>
  </si>
  <si>
    <t>Mikayla Perez</t>
  </si>
  <si>
    <t>Michelle</t>
  </si>
  <si>
    <t>Michelle Huang</t>
  </si>
  <si>
    <t>Heleana</t>
  </si>
  <si>
    <t>Soriano</t>
  </si>
  <si>
    <t>Leana Soriano</t>
  </si>
  <si>
    <t>Jingjing</t>
  </si>
  <si>
    <t>Jingjing Wu</t>
  </si>
  <si>
    <t>Jessica</t>
  </si>
  <si>
    <t>Modarelli</t>
  </si>
  <si>
    <t>Jessica Modarelli</t>
  </si>
  <si>
    <t>Ally</t>
  </si>
  <si>
    <t>Ally Zhang</t>
  </si>
  <si>
    <t>Santos</t>
  </si>
  <si>
    <t>Krizzie Santos</t>
  </si>
  <si>
    <t>Stephanie</t>
  </si>
  <si>
    <t>Stephanie Nguyen</t>
  </si>
  <si>
    <t>Haoyan</t>
  </si>
  <si>
    <t>Chris Luo</t>
  </si>
  <si>
    <t>Ka Ki</t>
  </si>
  <si>
    <t>Kyle Li</t>
  </si>
  <si>
    <t>Clarice Chen</t>
  </si>
  <si>
    <t>Ziao</t>
  </si>
  <si>
    <t>Kou</t>
  </si>
  <si>
    <t>Kk Kou</t>
  </si>
  <si>
    <t>Shou-Feng</t>
  </si>
  <si>
    <t>Perry Wang</t>
  </si>
  <si>
    <t>Oliver</t>
  </si>
  <si>
    <t>Shi</t>
  </si>
  <si>
    <t>Oliver Shi</t>
  </si>
  <si>
    <t>Stephy</t>
  </si>
  <si>
    <t>Stephy Wu</t>
  </si>
  <si>
    <t>Zhanghao</t>
  </si>
  <si>
    <t>PP Li</t>
  </si>
  <si>
    <t>Chantell</t>
  </si>
  <si>
    <t>Hampson</t>
  </si>
  <si>
    <t>Chantelle Hampson</t>
  </si>
  <si>
    <t>Dinh</t>
  </si>
  <si>
    <t>To</t>
  </si>
  <si>
    <t>Kevin To</t>
  </si>
  <si>
    <t>Niko Feng</t>
  </si>
  <si>
    <t>Feng</t>
  </si>
  <si>
    <t>Ying Yi</t>
  </si>
  <si>
    <t>Earl Wang</t>
  </si>
  <si>
    <t>Manogari</t>
  </si>
  <si>
    <t>Agnes</t>
  </si>
  <si>
    <t>Viola</t>
  </si>
  <si>
    <t>Agnes Viola</t>
  </si>
  <si>
    <t>Hexu</t>
  </si>
  <si>
    <t>Zheng</t>
  </si>
  <si>
    <t>Olivia Zheng</t>
  </si>
  <si>
    <t>Chenyu</t>
  </si>
  <si>
    <t>Zhong</t>
  </si>
  <si>
    <t>Sierra Zhong</t>
  </si>
  <si>
    <t>Zirong</t>
  </si>
  <si>
    <t>Guo</t>
  </si>
  <si>
    <t>Ron Guo</t>
  </si>
  <si>
    <t>Shi Wei</t>
  </si>
  <si>
    <t>Norman Wong</t>
  </si>
  <si>
    <t>Hayden</t>
  </si>
  <si>
    <t>Tran</t>
  </si>
  <si>
    <t>Hayden Tran</t>
  </si>
  <si>
    <t>Busayanee</t>
  </si>
  <si>
    <t>Somthas</t>
  </si>
  <si>
    <t>Film Somthas</t>
  </si>
  <si>
    <t>Le Hsin</t>
  </si>
  <si>
    <t>Yuna Hsu</t>
  </si>
  <si>
    <t>Jerah</t>
  </si>
  <si>
    <t>Sager</t>
  </si>
  <si>
    <t>Jerah Sager</t>
  </si>
  <si>
    <t>Siyao</t>
  </si>
  <si>
    <t>Siyao Wang</t>
  </si>
  <si>
    <t>Yonglin</t>
  </si>
  <si>
    <t>Tina Zhu</t>
  </si>
  <si>
    <t>Amy</t>
  </si>
  <si>
    <t>Hou</t>
  </si>
  <si>
    <t>Amy Hou</t>
  </si>
  <si>
    <t>Yawen</t>
  </si>
  <si>
    <t>May Yang</t>
  </si>
  <si>
    <t>Zhihou</t>
  </si>
  <si>
    <t>Zhihou Yang</t>
  </si>
  <si>
    <t>Mumtajit</t>
  </si>
  <si>
    <t>Kaur</t>
  </si>
  <si>
    <t>Mumta 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</si>
  <si>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</si>
  <si>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</si>
  <si>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</si>
  <si>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</si>
  <si>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</si>
  <si>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</si>
  <si>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</si>
  <si>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</si>
  <si>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Tam Phuc Thao</t>
  </si>
  <si>
    <t>Tam Le</t>
  </si>
  <si>
    <t>Nanaho</t>
  </si>
  <si>
    <t>Kanno</t>
  </si>
  <si>
    <t>Nanaho Kanno</t>
  </si>
  <si>
    <t>Carissa</t>
  </si>
  <si>
    <t>Carissa Wong</t>
  </si>
  <si>
    <t>xiaohan</t>
  </si>
  <si>
    <t>Tina Gao</t>
  </si>
  <si>
    <t>Minh Ngoc</t>
  </si>
  <si>
    <t>Chloe Pham</t>
  </si>
  <si>
    <t>Yunqing</t>
  </si>
  <si>
    <t>Missy Zhang</t>
  </si>
  <si>
    <t>Xiuyuan</t>
  </si>
  <si>
    <t>Cui</t>
  </si>
  <si>
    <t>Hugh Cui</t>
  </si>
  <si>
    <t>Ngoc Vinh Ky</t>
  </si>
  <si>
    <t>Dao</t>
  </si>
  <si>
    <t>Kay Dao</t>
  </si>
  <si>
    <t>Manze</t>
  </si>
  <si>
    <t>Manze Liu</t>
  </si>
  <si>
    <t>AIRU</t>
  </si>
  <si>
    <t>GAO</t>
  </si>
  <si>
    <t>Erin Gao</t>
  </si>
  <si>
    <t>Nhu</t>
  </si>
  <si>
    <t>Hoang</t>
  </si>
  <si>
    <t>Louis Hoang</t>
  </si>
  <si>
    <t>Jiaxuan</t>
  </si>
  <si>
    <t>Chelsea Li</t>
  </si>
  <si>
    <t>Mai Phuong</t>
  </si>
  <si>
    <t>Phan</t>
  </si>
  <si>
    <t>Daisy Phan</t>
  </si>
  <si>
    <t>Zalfa</t>
  </si>
  <si>
    <t>Buana</t>
  </si>
  <si>
    <t>Zalfa Buana</t>
  </si>
  <si>
    <t>Bianca</t>
  </si>
  <si>
    <t>Bianca Chen</t>
  </si>
  <si>
    <t>Sanju</t>
  </si>
  <si>
    <t>Shrestha</t>
  </si>
  <si>
    <t>Sanju Shrestha</t>
  </si>
  <si>
    <t>Chris</t>
  </si>
  <si>
    <t>Fung</t>
  </si>
  <si>
    <t>Chris Fung</t>
  </si>
  <si>
    <t>Amar</t>
  </si>
  <si>
    <t>Amar Gurung</t>
  </si>
  <si>
    <t>To Yen</t>
  </si>
  <si>
    <t>Ong</t>
  </si>
  <si>
    <t>Linbee Ong</t>
  </si>
  <si>
    <t>Cana</t>
  </si>
  <si>
    <t>Fukuda</t>
  </si>
  <si>
    <t>Cana Fukuda</t>
  </si>
  <si>
    <t>Jeeranan</t>
  </si>
  <si>
    <t>Rakkarn</t>
  </si>
  <si>
    <t>Mindzy Rakkarn</t>
  </si>
  <si>
    <t>Miaomiao</t>
  </si>
  <si>
    <t>Joy He</t>
  </si>
  <si>
    <t>Wing Men</t>
  </si>
  <si>
    <t>Hui</t>
  </si>
  <si>
    <t>Ruby Hui</t>
  </si>
  <si>
    <t>Luoshi</t>
  </si>
  <si>
    <t>Stella Wu</t>
  </si>
  <si>
    <t>LIJUE</t>
  </si>
  <si>
    <t>SHENG</t>
  </si>
  <si>
    <t>Serena Sheng</t>
  </si>
  <si>
    <t>CHINGAN</t>
  </si>
  <si>
    <t>HSU</t>
  </si>
  <si>
    <t>Wendy HSU</t>
  </si>
  <si>
    <t>Eric</t>
  </si>
  <si>
    <t>Eric Guo</t>
  </si>
  <si>
    <t>Kim Ngoc Ngo</t>
  </si>
  <si>
    <t>Mari Bui</t>
  </si>
  <si>
    <t>Manisha</t>
  </si>
  <si>
    <t>Thapa Magar</t>
  </si>
  <si>
    <t>Manisha Thapa Magar</t>
  </si>
  <si>
    <t>Sally</t>
  </si>
  <si>
    <t>Tambayong</t>
  </si>
  <si>
    <t>Sally Tambayong</t>
  </si>
  <si>
    <t>Chi</t>
  </si>
  <si>
    <t>Yeung</t>
  </si>
  <si>
    <t>Jacob Yeung</t>
  </si>
  <si>
    <t>philip</t>
  </si>
  <si>
    <t>semenov</t>
  </si>
  <si>
    <t>philip semenov</t>
  </si>
  <si>
    <t>Jethro</t>
  </si>
  <si>
    <t>Soewandito</t>
  </si>
  <si>
    <t>Jethro Soewandito</t>
  </si>
  <si>
    <t>Liuqing</t>
  </si>
  <si>
    <t>Wen</t>
  </si>
  <si>
    <t>Ellen Wen</t>
  </si>
  <si>
    <t>Huen Huen</t>
  </si>
  <si>
    <t>Angel Chen</t>
  </si>
  <si>
    <t>Zipeng</t>
  </si>
  <si>
    <t>Stephen Liang</t>
  </si>
  <si>
    <t>Alex Le</t>
  </si>
  <si>
    <t>Christopher</t>
  </si>
  <si>
    <t>Kasovski</t>
  </si>
  <si>
    <t>Chris Kasovski</t>
  </si>
  <si>
    <t>Mengfan</t>
  </si>
  <si>
    <t>Reena He</t>
  </si>
  <si>
    <t>Suya</t>
  </si>
  <si>
    <t>Bessie Chen</t>
  </si>
  <si>
    <t>Dylan</t>
  </si>
  <si>
    <t>Dylan Nguyen</t>
  </si>
  <si>
    <t>Fangwei</t>
  </si>
  <si>
    <t>Mei Hsu</t>
  </si>
  <si>
    <t>YUTANG</t>
  </si>
  <si>
    <t>Ryan Huang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</si>
  <si>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</si>
  <si>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</si>
  <si>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</si>
  <si>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</si>
  <si>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</si>
  <si>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</si>
  <si>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</si>
  <si>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</si>
  <si>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</si>
  <si>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</si>
  <si>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</si>
  <si>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</si>
  <si>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</si>
  <si>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</si>
  <si>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</si>
  <si>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</si>
  <si>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</si>
  <si>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</si>
  <si>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</si>
  <si>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</si>
  <si>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Huang-Kai</t>
  </si>
  <si>
    <t>Reger Tseng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</si>
  <si>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</si>
  <si>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</si>
  <si>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</si>
  <si>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</si>
  <si>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</si>
  <si>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</si>
  <si>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</si>
  <si>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</si>
  <si>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</si>
  <si>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</si>
  <si>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</si>
  <si>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</si>
  <si>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</si>
  <si>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</si>
  <si>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</si>
  <si>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</si>
  <si>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</si>
  <si>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</si>
  <si>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</si>
  <si>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</si>
  <si>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</si>
  <si>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</si>
  <si>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</si>
  <si>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Siqi</t>
  </si>
  <si>
    <t>Quenny Li</t>
  </si>
  <si>
    <t>Hoang Bach</t>
  </si>
  <si>
    <t>Timmy Nguyen</t>
  </si>
  <si>
    <t>Yinzi</t>
  </si>
  <si>
    <t>Sia Yang</t>
  </si>
  <si>
    <t>Dominic</t>
  </si>
  <si>
    <t>Dominic Cao</t>
  </si>
  <si>
    <t>XUYONG</t>
  </si>
  <si>
    <t>Vincci He</t>
  </si>
  <si>
    <t>Yu-Tung</t>
  </si>
  <si>
    <t>Tony Chen</t>
  </si>
  <si>
    <t>Yu-Ju</t>
  </si>
  <si>
    <t>Amber Wu</t>
  </si>
  <si>
    <t>Andrew</t>
  </si>
  <si>
    <t>Andrew Wang</t>
  </si>
  <si>
    <t>Samuel</t>
  </si>
  <si>
    <t>Song</t>
  </si>
  <si>
    <t>Samuel Song</t>
  </si>
  <si>
    <t>Yudie</t>
  </si>
  <si>
    <t>Fleece Xie</t>
  </si>
  <si>
    <t>Peilun</t>
  </si>
  <si>
    <t>ChuChu Li</t>
  </si>
  <si>
    <t>Vinh Hien</t>
  </si>
  <si>
    <t>Vinh Hien Le</t>
  </si>
  <si>
    <t>Winson</t>
  </si>
  <si>
    <t>Winson Tan</t>
  </si>
  <si>
    <t>Haoshen</t>
  </si>
  <si>
    <t>Hanson Luo</t>
  </si>
  <si>
    <t>PEI-SYUAN</t>
  </si>
  <si>
    <t>WU</t>
  </si>
  <si>
    <t>Laura Wu</t>
  </si>
  <si>
    <t>YuHao</t>
  </si>
  <si>
    <t>Levin Liu</t>
  </si>
  <si>
    <t>Huy Tien</t>
  </si>
  <si>
    <t>Pat Phan</t>
  </si>
  <si>
    <t>Chansethea</t>
  </si>
  <si>
    <t>Sunly</t>
  </si>
  <si>
    <t>Sethea Sunly</t>
  </si>
  <si>
    <t>RUMIN</t>
  </si>
  <si>
    <t>YAN</t>
  </si>
  <si>
    <t>Rosemin YAN</t>
  </si>
  <si>
    <t>Ngoc My</t>
  </si>
  <si>
    <t>Ami Nguyen</t>
  </si>
  <si>
    <t>Shaw Xiao</t>
  </si>
  <si>
    <t>Gia Linh</t>
  </si>
  <si>
    <t>Lillie Pham</t>
  </si>
  <si>
    <t>Rhea</t>
  </si>
  <si>
    <t>Rhea Chen</t>
  </si>
  <si>
    <t>Truc Thanh</t>
  </si>
  <si>
    <t>May Nguyen</t>
  </si>
  <si>
    <t>Josh</t>
  </si>
  <si>
    <t>Clayton</t>
  </si>
  <si>
    <t>Josh Clayton</t>
  </si>
  <si>
    <t>Theresa</t>
  </si>
  <si>
    <t>Chow</t>
  </si>
  <si>
    <t>Theresa Chow</t>
  </si>
  <si>
    <t>Eileen</t>
  </si>
  <si>
    <t>Steegmans</t>
  </si>
  <si>
    <t>Eileen Steegmans</t>
  </si>
  <si>
    <t>Julia</t>
  </si>
  <si>
    <t>Esteve</t>
  </si>
  <si>
    <t>Julia Esteve</t>
  </si>
  <si>
    <t>Leslie</t>
  </si>
  <si>
    <t>Andrade</t>
  </si>
  <si>
    <t>Leslie Andrade</t>
  </si>
  <si>
    <t>Ayden</t>
  </si>
  <si>
    <t>Ayden Tran</t>
  </si>
  <si>
    <t>Sasasarun</t>
  </si>
  <si>
    <t>Siwagornsatien</t>
  </si>
  <si>
    <t>Dao Siwagornsatien</t>
  </si>
  <si>
    <t>XI</t>
  </si>
  <si>
    <t>ZENG</t>
  </si>
  <si>
    <t>Jessica ZENG</t>
  </si>
  <si>
    <t>Axel</t>
  </si>
  <si>
    <t>Purnomo</t>
  </si>
  <si>
    <t>Axel Purnomo</t>
  </si>
  <si>
    <t>Daniel</t>
  </si>
  <si>
    <t>Daniel Han</t>
  </si>
  <si>
    <t>Ye Min</t>
  </si>
  <si>
    <t>Oo</t>
  </si>
  <si>
    <t>Justin Oo</t>
  </si>
  <si>
    <t>Nathan</t>
  </si>
  <si>
    <t>Tam</t>
  </si>
  <si>
    <t>Nathan Tam</t>
  </si>
  <si>
    <t>QiHao</t>
  </si>
  <si>
    <t>Michael Wang</t>
  </si>
  <si>
    <t>Yunpeng</t>
  </si>
  <si>
    <t>pipi Wang</t>
  </si>
  <si>
    <t>Simona</t>
  </si>
  <si>
    <t>Bubici</t>
  </si>
  <si>
    <t>Simo Bubici</t>
  </si>
  <si>
    <t>Samikchhya</t>
  </si>
  <si>
    <t>Sami Gurung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</si>
  <si>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</si>
  <si>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</si>
  <si>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</si>
  <si>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</si>
  <si>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</si>
  <si>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</si>
  <si>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</si>
  <si>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</si>
  <si>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</t>
  </si>
  <si>
    <t>Narso</t>
  </si>
  <si>
    <t>Chelsea Narso</t>
  </si>
  <si>
    <t>Dhestania</t>
  </si>
  <si>
    <t>Hapta</t>
  </si>
  <si>
    <t>Nia Hapta</t>
  </si>
  <si>
    <t>Ke</t>
  </si>
  <si>
    <t>Geng</t>
  </si>
  <si>
    <t>Ke Geng</t>
  </si>
  <si>
    <t>Deliang</t>
  </si>
  <si>
    <t>Jiang</t>
  </si>
  <si>
    <t>Deliang Jiang</t>
  </si>
  <si>
    <t>Jocelyn</t>
  </si>
  <si>
    <t>Jocelyn Lee</t>
  </si>
  <si>
    <t>Ayushna</t>
  </si>
  <si>
    <t>Subedi</t>
  </si>
  <si>
    <t>Ayushna Subedi</t>
  </si>
  <si>
    <t>Dang</t>
  </si>
  <si>
    <t>Lam Dang</t>
  </si>
  <si>
    <t>Lavi Jiang</t>
  </si>
  <si>
    <t>Suqi</t>
  </si>
  <si>
    <t>Suky Tang</t>
  </si>
  <si>
    <t>Chien Liang</t>
  </si>
  <si>
    <t>Jeffrey Liu</t>
  </si>
  <si>
    <t>Sangay</t>
  </si>
  <si>
    <t>Lhazom</t>
  </si>
  <si>
    <t>Sangay Lhazom</t>
  </si>
  <si>
    <t>Xiuyun</t>
  </si>
  <si>
    <t>Penny Pan</t>
  </si>
  <si>
    <t>Suman</t>
  </si>
  <si>
    <t>Thing</t>
  </si>
  <si>
    <t>Suman Thing</t>
  </si>
  <si>
    <t>Xinyun</t>
  </si>
  <si>
    <t>Selena Wu</t>
  </si>
  <si>
    <t>Linh Nga</t>
  </si>
  <si>
    <t>Do</t>
  </si>
  <si>
    <t>Cong Hieu</t>
  </si>
  <si>
    <t>Harry Le</t>
  </si>
  <si>
    <t>Rattikarn</t>
  </si>
  <si>
    <t>Pritong</t>
  </si>
  <si>
    <t>Fai Pritong</t>
  </si>
  <si>
    <t>Harshit</t>
  </si>
  <si>
    <t>Setia</t>
  </si>
  <si>
    <t>Harshit Setia</t>
  </si>
  <si>
    <t>Erica</t>
  </si>
  <si>
    <t>Huy</t>
  </si>
  <si>
    <t>Erica Huy</t>
  </si>
  <si>
    <t>Malin</t>
  </si>
  <si>
    <t>Beh</t>
  </si>
  <si>
    <t>Malin Beh</t>
  </si>
  <si>
    <t>Hoai My Ngoc</t>
  </si>
  <si>
    <t>Mimi Le</t>
  </si>
  <si>
    <t>Vi Viet Hoang</t>
  </si>
  <si>
    <t>Ngo</t>
  </si>
  <si>
    <t>Henry Ngo</t>
  </si>
  <si>
    <t>Alyssa</t>
  </si>
  <si>
    <t>Alyssa Huynh</t>
  </si>
  <si>
    <t>Edan</t>
  </si>
  <si>
    <t>Chang</t>
  </si>
  <si>
    <t>Edan Chang</t>
  </si>
  <si>
    <t>Hui Qi</t>
  </si>
  <si>
    <t>Lau</t>
  </si>
  <si>
    <t>Rachel Lau</t>
  </si>
  <si>
    <t>Thesya</t>
  </si>
  <si>
    <t>Handoko</t>
  </si>
  <si>
    <t>Nia Handoko</t>
  </si>
  <si>
    <t>Evelyn Le</t>
  </si>
  <si>
    <t>Jordan</t>
  </si>
  <si>
    <t>Zekai</t>
  </si>
  <si>
    <t>Richard Tang</t>
  </si>
  <si>
    <t>Kien</t>
  </si>
  <si>
    <t>Will Tran</t>
  </si>
  <si>
    <t>Martinez Beltran</t>
  </si>
  <si>
    <t>Daniela Martinez Beltran</t>
  </si>
  <si>
    <t>Scarlett</t>
  </si>
  <si>
    <t>Scarlett Huynh</t>
  </si>
  <si>
    <t>TingHsun</t>
  </si>
  <si>
    <t>Ben Lin</t>
  </si>
  <si>
    <t>Jiaxu</t>
  </si>
  <si>
    <t>Nick Yu</t>
  </si>
  <si>
    <t>Cheuk Tung</t>
  </si>
  <si>
    <t>Lo</t>
  </si>
  <si>
    <t>Allison Lo</t>
  </si>
  <si>
    <t>Tsz Ching</t>
  </si>
  <si>
    <t>Ausilia Wong</t>
  </si>
  <si>
    <t>AOI</t>
  </si>
  <si>
    <t xml:space="preserve">MIURA </t>
  </si>
  <si>
    <t xml:space="preserve">Aoi MIURA </t>
  </si>
  <si>
    <t>Yen Minh</t>
  </si>
  <si>
    <t>Ellie Phan</t>
  </si>
  <si>
    <t>Jia</t>
  </si>
  <si>
    <t>Norah Wu</t>
  </si>
  <si>
    <t>Nate Bui</t>
  </si>
  <si>
    <t>Dacong</t>
  </si>
  <si>
    <t>Pei</t>
  </si>
  <si>
    <t>Dacong Pei</t>
  </si>
  <si>
    <t>Weilong</t>
  </si>
  <si>
    <t>Weilong Luo</t>
  </si>
  <si>
    <t>Chaoran</t>
  </si>
  <si>
    <t>Chloe Zhang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</si>
  <si>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</si>
  <si>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</si>
  <si>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</si>
  <si>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</si>
  <si>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</si>
  <si>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</si>
  <si>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</si>
  <si>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</si>
  <si>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</si>
  <si>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</si>
  <si>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</si>
  <si>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</si>
  <si>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</si>
  <si>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</si>
  <si>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</si>
  <si>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</si>
  <si>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</si>
  <si>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</si>
  <si>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</si>
  <si>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</si>
  <si>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</si>
  <si>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</si>
  <si>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</si>
  <si>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</si>
  <si>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</si>
  <si>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</si>
  <si>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</si>
  <si>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</si>
  <si>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</si>
  <si>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</si>
  <si>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</si>
  <si>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</si>
  <si>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</si>
  <si>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</si>
  <si>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</si>
  <si>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</si>
  <si>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</si>
  <si>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Yu Yin Jennifer</t>
  </si>
  <si>
    <t>Jennifer Wong</t>
  </si>
  <si>
    <t>Yuxuan</t>
  </si>
  <si>
    <t>Hanni Wang</t>
  </si>
  <si>
    <t>Nguyet Anh</t>
  </si>
  <si>
    <t>Anne Nguyen</t>
  </si>
  <si>
    <t>Pan Yue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</si>
  <si>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</si>
  <si>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</si>
  <si>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</si>
  <si>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</si>
  <si>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</si>
  <si>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</si>
  <si>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</si>
  <si>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</si>
  <si>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</si>
  <si>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</si>
  <si>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</si>
  <si>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</si>
  <si>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</si>
  <si>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</si>
  <si>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</si>
  <si>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</si>
  <si>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</si>
  <si>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</si>
  <si>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</si>
  <si>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</si>
  <si>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</si>
  <si>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</si>
  <si>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</si>
  <si>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</si>
  <si>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</si>
  <si>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</si>
  <si>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</si>
  <si>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</si>
  <si>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</si>
  <si>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</si>
  <si>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</si>
  <si>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</si>
  <si>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</si>
  <si>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</si>
  <si>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</si>
  <si>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</si>
  <si>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</si>
  <si>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</si>
  <si>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</si>
  <si>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</si>
  <si>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</si>
  <si>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</si>
  <si>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</si>
  <si>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</si>
  <si>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</si>
  <si>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</si>
  <si>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</si>
  <si>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</si>
  <si>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</si>
  <si>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</si>
  <si>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</si>
  <si>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</si>
  <si>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</si>
  <si>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</si>
  <si>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</si>
  <si>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</t>
  </si>
  <si>
    <t>Alston Cheng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</si>
  <si>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</si>
  <si>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</si>
  <si>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</si>
  <si>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</si>
  <si>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</si>
  <si>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</si>
  <si>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</si>
  <si>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</si>
  <si>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</si>
  <si>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Hsiu-Hsuan</t>
  </si>
  <si>
    <t>Miki Hung</t>
  </si>
  <si>
    <t>TSZ HIM</t>
  </si>
  <si>
    <t>NG</t>
  </si>
  <si>
    <t>Ryan NG</t>
  </si>
  <si>
    <t>Clement</t>
  </si>
  <si>
    <t>Yip</t>
  </si>
  <si>
    <t>Clement Yip</t>
  </si>
  <si>
    <t>Ngoc Linh Dan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</si>
  <si>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</si>
  <si>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</si>
  <si>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</si>
  <si>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</si>
  <si>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</si>
  <si>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</si>
  <si>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</si>
  <si>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</si>
  <si>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</si>
  <si>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</si>
  <si>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</si>
  <si>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</si>
  <si>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</si>
  <si>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</si>
  <si>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</si>
  <si>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</si>
  <si>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</si>
  <si>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</si>
  <si>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</si>
  <si>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</si>
  <si>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</si>
  <si>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</si>
  <si>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Esha-Lee Sandra</t>
  </si>
  <si>
    <t>Dalwood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</si>
  <si>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</si>
  <si>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</si>
  <si>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</si>
  <si>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</si>
  <si>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</si>
  <si>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</si>
  <si>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</si>
  <si>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</si>
  <si>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</si>
  <si>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</si>
  <si>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</si>
  <si>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</si>
  <si>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</si>
  <si>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</si>
  <si>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</si>
  <si>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</si>
  <si>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</si>
  <si>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</si>
  <si>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</si>
  <si>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</si>
  <si>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</si>
  <si>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</si>
  <si>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</si>
  <si>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</si>
  <si>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</si>
  <si>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</si>
  <si>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</si>
  <si>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</si>
  <si>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</si>
  <si>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</si>
  <si>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</si>
  <si>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</si>
  <si>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</si>
  <si>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</si>
  <si>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</si>
  <si>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</si>
  <si>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Emma</t>
  </si>
  <si>
    <t>Reid</t>
  </si>
  <si>
    <t>Emma Reid</t>
  </si>
  <si>
    <t>Islay</t>
  </si>
  <si>
    <t>Dunlop</t>
  </si>
  <si>
    <t>Islay Dunlop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</si>
  <si>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</si>
  <si>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</si>
  <si>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</si>
  <si>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</si>
  <si>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</si>
  <si>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</si>
  <si>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</si>
  <si>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</si>
  <si>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</si>
  <si>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</si>
  <si>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</si>
  <si>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</si>
  <si>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</si>
  <si>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</si>
  <si>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</si>
  <si>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</si>
  <si>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</si>
  <si>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</si>
  <si>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</si>
  <si>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</si>
  <si>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</si>
  <si>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</si>
  <si>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</si>
  <si>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</si>
  <si>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</si>
  <si>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</si>
  <si>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</si>
  <si>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</si>
  <si>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</si>
  <si>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</si>
  <si>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</si>
  <si>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</si>
  <si>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</si>
  <si>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</si>
  <si>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</si>
  <si>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</si>
  <si>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</si>
  <si>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YUTING</t>
  </si>
  <si>
    <t>HSIEH</t>
  </si>
  <si>
    <t>Olivia HSIEH</t>
  </si>
  <si>
    <t>Isabel Li Yen</t>
  </si>
  <si>
    <t>Yap</t>
  </si>
  <si>
    <t>Isabel Yap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</si>
  <si>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</si>
  <si>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</si>
  <si>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</si>
  <si>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</si>
  <si>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</si>
  <si>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</si>
  <si>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</si>
  <si>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</si>
  <si>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</si>
  <si>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</si>
  <si>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</si>
  <si>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</si>
  <si>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</si>
  <si>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</si>
  <si>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</si>
  <si>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</si>
  <si>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</si>
  <si>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</si>
  <si>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Reimi Hatakeyama</t>
  </si>
  <si>
    <t>Annisa</t>
  </si>
  <si>
    <t>Darmadi</t>
  </si>
  <si>
    <t>Annisa Darmadi</t>
  </si>
  <si>
    <t>Yui</t>
  </si>
  <si>
    <t>Narasaki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</si>
  <si>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</si>
  <si>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</si>
  <si>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</si>
  <si>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</si>
  <si>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</si>
  <si>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</si>
  <si>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</si>
  <si>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</si>
  <si>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</si>
  <si>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</si>
  <si>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</si>
  <si>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</si>
  <si>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</si>
  <si>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</si>
  <si>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</si>
  <si>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</si>
  <si>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</si>
  <si>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</si>
  <si>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</si>
  <si>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Olivia Fransisca</t>
  </si>
  <si>
    <t>Supawadee</t>
  </si>
  <si>
    <t>Aue-areelers</t>
  </si>
  <si>
    <t>Porsche Aue-areelers</t>
  </si>
  <si>
    <t>Mery</t>
  </si>
  <si>
    <t>Mery Mery</t>
  </si>
  <si>
    <t>Kaitlin</t>
  </si>
  <si>
    <t>Kaitlin Nguyen</t>
  </si>
  <si>
    <t>Haji</t>
  </si>
  <si>
    <t>Myrteza</t>
  </si>
  <si>
    <t>Haji Myrteza</t>
  </si>
  <si>
    <t>Superb</t>
  </si>
  <si>
    <t>BRW</t>
  </si>
  <si>
    <t>DSQ</t>
  </si>
  <si>
    <t>Break 1</t>
  </si>
  <si>
    <t>EW</t>
  </si>
  <si>
    <t>Break 2</t>
  </si>
  <si>
    <t>GFP</t>
  </si>
  <si>
    <t>HV</t>
  </si>
  <si>
    <t>MC</t>
  </si>
  <si>
    <t>Miranda</t>
  </si>
  <si>
    <t>Myer</t>
  </si>
  <si>
    <t>Plumpton</t>
  </si>
  <si>
    <t>QVB</t>
  </si>
  <si>
    <t>Rhodes</t>
  </si>
  <si>
    <t>GCA</t>
  </si>
  <si>
    <t>WSQ</t>
  </si>
  <si>
    <t>Hotstar</t>
  </si>
  <si>
    <t>Winlada</t>
  </si>
  <si>
    <t>Westfield Syd</t>
  </si>
  <si>
    <t>Marsden Park</t>
  </si>
  <si>
    <t>Rouse Hill</t>
  </si>
  <si>
    <t>One HV</t>
  </si>
  <si>
    <t>Hotstar HV</t>
  </si>
  <si>
    <t>Gateway</t>
  </si>
  <si>
    <t>Hotstar Waterloo</t>
  </si>
  <si>
    <t>Waterloo</t>
  </si>
  <si>
    <t>The Star</t>
  </si>
  <si>
    <t>Hotstar The Star</t>
  </si>
  <si>
    <t>New Employee</t>
  </si>
  <si>
    <t>Ribbon</t>
  </si>
  <si>
    <t>Innaloo</t>
  </si>
  <si>
    <t>Warwick</t>
  </si>
  <si>
    <t>MetCentre</t>
  </si>
  <si>
    <t>Southport</t>
  </si>
  <si>
    <t>MSCWSQ</t>
  </si>
  <si>
    <t>Miss Coconut</t>
  </si>
  <si>
    <t>MSCSQ</t>
  </si>
  <si>
    <t>Hotstar Burwood</t>
  </si>
  <si>
    <t>Date</t>
  </si>
  <si>
    <t>Holiday</t>
  </si>
  <si>
    <t>New Year's Day</t>
  </si>
  <si>
    <t>Additional Day</t>
  </si>
  <si>
    <t>Australia Day</t>
  </si>
  <si>
    <t>Good Friday</t>
  </si>
  <si>
    <t>Easter Saturday</t>
  </si>
  <si>
    <t>Easter Monday</t>
  </si>
  <si>
    <t>Easter Sunday</t>
  </si>
  <si>
    <t>Anzac Day</t>
  </si>
  <si>
    <t>Queen's Birthday</t>
  </si>
  <si>
    <t>King's Birthday</t>
  </si>
  <si>
    <t>Labour Day</t>
  </si>
  <si>
    <t>Christmas Day public holiday</t>
  </si>
  <si>
    <t>Boxing Day</t>
  </si>
  <si>
    <t>National Day of mourning for her majesty the Queen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</si>
</sst>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0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20"/>
      <color rgb="FF000000"/>
      <name val="Helvetica Neue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5" fillId="0" borderId="0" xfId="0" applyFont="1" applyAlignment="1">
      <alignment horizontal="center" vertical="center"/>
    </xf>
    <xf numFmtId="4" fontId="26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164" fontId="27" fillId="0" borderId="0" xfId="0" applyNumberFormat="1" applyFont="1"/>
    <xf numFmtId="0" fontId="28" fillId="0" borderId="0" xfId="0" applyFont="1"/>
    <xf numFmtId="14" fontId="27" fillId="0" borderId="0" xfId="0" applyNumberFormat="1" applyFont="1"/>
    <xf numFmtId="0" fontId="27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0" fillId="0" borderId="0" xfId="0" applyFont="1" applyAlignment="1" applyProtection="1">
      <alignment horizontal="center" vertical="center" wrapText="1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1" fontId="32" fillId="0" borderId="0" xfId="0" applyNumberFormat="1" applyFont="1" applyAlignment="1">
      <alignment horizontal="center" vertical="center" wrapText="1"/>
    </xf>
    <xf numFmtId="20" fontId="30" fillId="0" borderId="0" xfId="0" applyNumberFormat="1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4" fontId="30" fillId="0" borderId="0" xfId="0" applyNumberFormat="1" applyFont="1" applyAlignment="1" applyProtection="1">
      <alignment horizontal="center" vertical="center" wrapText="1"/>
      <protection locked="0"/>
    </xf>
    <xf numFmtId="14" fontId="28" fillId="0" borderId="0" xfId="0" applyNumberFormat="1" applyFont="1"/>
    <xf numFmtId="14" fontId="34" fillId="0" borderId="0" xfId="0" applyNumberFormat="1" applyFont="1"/>
    <xf numFmtId="0" fontId="30" fillId="0" borderId="0" xfId="0" applyFont="1" applyAlignment="1" applyProtection="1">
      <alignment horizontal="center" vertical="center"/>
      <protection locked="0"/>
    </xf>
    <xf numFmtId="0" fontId="35" fillId="0" borderId="0" xfId="0" applyFont="1"/>
    <xf numFmtId="49" fontId="19" fillId="0" borderId="0" xfId="0" applyNumberFormat="1" applyFont="1"/>
    <xf numFmtId="20" fontId="29" fillId="0" borderId="0" xfId="0" applyNumberFormat="1" applyFont="1" applyAlignment="1" applyProtection="1">
      <alignment horizontal="center" vertical="center" wrapText="1"/>
      <protection locked="0"/>
    </xf>
    <xf numFmtId="20" fontId="29" fillId="0" borderId="0" xfId="0" applyNumberFormat="1" applyFont="1" applyAlignment="1" applyProtection="1">
      <alignment horizontal="center" vertical="center"/>
      <protection locked="0"/>
    </xf>
    <xf numFmtId="0" fontId="29" fillId="0" borderId="0" xfId="0" applyFont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Protection="1">
      <protection locked="0"/>
    </xf>
    <xf numFmtId="0" fontId="38" fillId="0" borderId="0" xfId="0" applyFont="1" applyAlignment="1" applyProtection="1">
      <alignment horizontal="center"/>
      <protection locked="0"/>
    </xf>
    <xf numFmtId="0" fontId="39" fillId="0" borderId="0" xfId="0" applyFont="1" applyAlignment="1" applyProtection="1">
      <alignment horizontal="center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0</v>
      </c>
      <c r="B1" s="19" t="s">
        <v>1</v>
      </c>
      <c r="C1" s="19" t="s">
        <v>2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20" t="s">
        <v>15</v>
      </c>
      <c r="AU1" s="19" t="s">
        <v>16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11</v>
      </c>
    </row>
    <row r="2" spans="1:89" ht="38" customHeight="1">
      <c r="A2" s="74">
        <f t="shared" ref="A2:A33" si="0">IF(ISNA(AZ2),"",AZ2)</f>
        <v>10059</v>
      </c>
      <c r="B2" s="81" t="s">
        <v>31</v>
      </c>
      <c r="C2" s="98" t="s">
        <v>32</v>
      </c>
      <c r="D2" s="84">
        <v>0.375</v>
      </c>
      <c r="E2" s="85">
        <v>0.625</v>
      </c>
      <c r="F2" s="92">
        <f>BA2-BB2</f>
        <v>5.5</v>
      </c>
      <c r="G2" s="85">
        <v>0.375</v>
      </c>
      <c r="H2" s="85">
        <v>0.8125</v>
      </c>
      <c r="I2" s="92">
        <f>BF2-BG2</f>
        <v>9.5</v>
      </c>
      <c r="J2" s="85"/>
      <c r="K2" s="85"/>
      <c r="L2" s="92">
        <f>BK2-BL2</f>
        <v>0</v>
      </c>
      <c r="M2" s="85">
        <v>0.375</v>
      </c>
      <c r="N2" s="84">
        <v>0.8125</v>
      </c>
      <c r="O2" s="92">
        <f>BP2-BQ2</f>
        <v>9.5</v>
      </c>
      <c r="P2" s="84">
        <v>0.375</v>
      </c>
      <c r="Q2" s="85">
        <v>0.80208333333333337</v>
      </c>
      <c r="R2" s="92">
        <f>BU2-BV2</f>
        <v>9.25</v>
      </c>
      <c r="S2" s="85"/>
      <c r="T2" s="85"/>
      <c r="U2" s="92">
        <f>BZ2-CA2</f>
        <v>0</v>
      </c>
      <c r="V2" s="85"/>
      <c r="W2" s="85"/>
      <c r="X2" s="92">
        <f>CE2-CF2</f>
        <v>0</v>
      </c>
      <c r="Y2" s="92"/>
      <c r="Z2" s="92"/>
      <c r="AA2" s="92"/>
      <c r="AB2" s="92">
        <f>SUM(F2,I2,L2,O2,R2,U2,X2)</f>
        <v>33.75</v>
      </c>
      <c r="AC2" s="93"/>
      <c r="AD2" s="78">
        <v>5.5</v>
      </c>
      <c r="AE2" s="94">
        <f t="shared" ref="AE2:AE40" si="1">SUMIF($BC$1:$CI$1,AE$1,$BC2:$CI2)+AD2</f>
        <v>39.25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4</v>
      </c>
      <c r="AQ2" s="77"/>
      <c r="AR2" s="77"/>
      <c r="AS2" s="77"/>
      <c r="AT2" s="44">
        <f>AE2+AG2+AI2+AK2+AM2+AO2+SUM(AQ2:AS2)</f>
        <v>39.25</v>
      </c>
      <c r="AU2" s="97" t="s">
        <v>33</v>
      </c>
      <c r="AV2" s="5"/>
      <c r="AW2" s="5"/>
      <c r="AX2" s="5"/>
      <c r="AY2" s="5"/>
      <c r="AZ2" s="24">
        <f>VLOOKUP(C2,Employees!D:I,6,FALSE)</f>
        <v>10059</v>
      </c>
      <c r="BA2" s="5">
        <f>IF(ISBLANK(D2),0,(E2-D2)*24)</f>
        <v>6</v>
      </c>
      <c r="BB2" s="5">
        <f>IF(BA2&gt;$AY$1,1,IF(BA2&gt;=$AX$1,0.5,0))</f>
        <v>0.5</v>
      </c>
      <c r="BC2" s="5">
        <f>BA2-BB2-BD2-BE2</f>
        <v>5.5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10.5</v>
      </c>
      <c r="BG2" s="5">
        <f>IF(BF2&gt;$AY$1,1,IF(BF2&gt;=$AX$1,0.5,0))</f>
        <v>1</v>
      </c>
      <c r="BH2" s="5">
        <f>BF2-BG2-BI2-BJ2</f>
        <v>9.5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10.5</v>
      </c>
      <c r="BQ2" s="5">
        <f>IF(BP2&gt;$AY$1,1,IF(BP2&gt;=$AX$1,0.5,0))</f>
        <v>1</v>
      </c>
      <c r="BR2" s="5">
        <f>BP2-BQ2-BS2-BT2</f>
        <v>9.5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10.25</v>
      </c>
      <c r="BV2" s="5">
        <f>IF(BU2&gt;$AY$1,1,IF(BU2&gt;=$AX$1,0.5,0))</f>
        <v>1</v>
      </c>
      <c r="BW2" s="5">
        <f>BU2-BV2-BX2-BY2</f>
        <v>9.25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4</v>
      </c>
    </row>
    <row r="3" spans="1:89" ht="38" customHeight="1">
      <c r="A3" s="74">
        <f t="shared" si="0"/>
        <v>10090</v>
      </c>
      <c r="B3" s="81" t="s">
        <v>31</v>
      </c>
      <c r="C3" s="98" t="s">
        <v>34</v>
      </c>
      <c r="D3" s="84">
        <v>0.625</v>
      </c>
      <c r="E3" s="85">
        <v>0.8125</v>
      </c>
      <c r="F3" s="92">
        <f t="shared" ref="F3:F69" si="15">BA3-BB3</f>
        <v>4.5</v>
      </c>
      <c r="G3" s="85"/>
      <c r="H3" s="85"/>
      <c r="I3" s="92">
        <f t="shared" ref="I3:I69" si="16">BF3-BG3</f>
        <v>0</v>
      </c>
      <c r="J3" s="85"/>
      <c r="K3" s="85"/>
      <c r="L3" s="92">
        <f t="shared" ref="L3:L69" si="17">BK3-BL3</f>
        <v>0</v>
      </c>
      <c r="M3" s="85"/>
      <c r="N3" s="84"/>
      <c r="O3" s="92">
        <f t="shared" ref="O3:O69" si="18">BP3-BQ3</f>
        <v>0</v>
      </c>
      <c r="P3" s="84"/>
      <c r="Q3" s="85"/>
      <c r="R3" s="92">
        <f t="shared" ref="R3:R69" si="19">BU3-BV3</f>
        <v>0</v>
      </c>
      <c r="S3" s="85"/>
      <c r="T3" s="85"/>
      <c r="U3" s="92">
        <f t="shared" ref="U3:U69" si="20">BZ3-CA3</f>
        <v>0</v>
      </c>
      <c r="V3" s="85"/>
      <c r="W3" s="85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4.5</v>
      </c>
      <c r="AC3" s="93"/>
      <c r="AD3" s="78"/>
      <c r="AE3" s="94">
        <f t="shared" si="1"/>
        <v>4.5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1</v>
      </c>
      <c r="AQ3" s="77"/>
      <c r="AR3" s="77"/>
      <c r="AS3" s="77"/>
      <c r="AT3" s="44">
        <f t="shared" ref="AT3:AT69" si="24">AE3+AG3+AI3+AK3+AM3+AO3+SUM(AQ3:AS3)</f>
        <v>4.5</v>
      </c>
      <c r="AU3" s="78"/>
      <c r="AV3" s="5"/>
      <c r="AW3" s="5"/>
      <c r="AX3" s="5"/>
      <c r="AY3" s="5"/>
      <c r="AZ3" s="24">
        <f>VLOOKUP(C3,Employees!D:I,6,FALSE)</f>
        <v>10090</v>
      </c>
      <c r="BA3" s="5">
        <f t="shared" ref="BA3:BA66" si="25">IF(ISBLANK(D3),0,(E3-D3)*24)</f>
        <v>4.5</v>
      </c>
      <c r="BB3" s="5">
        <f t="shared" ref="BB3:BB66" si="26">IF(BA3&gt;$AY$1,1,IF(BA3&gt;=$AX$1,0.5,0))</f>
        <v>0</v>
      </c>
      <c r="BC3" s="5">
        <f t="shared" ref="BC3:BC66" si="27">BA3-BB3-BD3-BE3</f>
        <v>4.5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1</v>
      </c>
    </row>
    <row r="4" spans="1:89" ht="38" customHeight="1">
      <c r="A4" s="74">
        <f t="shared" si="0"/>
        <v>10015</v>
      </c>
      <c r="B4" s="81" t="s">
        <v>31</v>
      </c>
      <c r="C4" s="98" t="s">
        <v>35</v>
      </c>
      <c r="D4" s="85"/>
      <c r="E4" s="85"/>
      <c r="F4" s="92">
        <f t="shared" si="15"/>
        <v>0</v>
      </c>
      <c r="G4" s="85"/>
      <c r="H4" s="85"/>
      <c r="I4" s="92">
        <f t="shared" si="16"/>
        <v>0</v>
      </c>
      <c r="J4" s="85">
        <v>0.375</v>
      </c>
      <c r="K4" s="85">
        <v>0.58333333333333337</v>
      </c>
      <c r="L4" s="92">
        <f t="shared" si="17"/>
        <v>5.0000000000000009</v>
      </c>
      <c r="M4" s="85"/>
      <c r="N4" s="85"/>
      <c r="O4" s="92">
        <f t="shared" si="18"/>
        <v>0</v>
      </c>
      <c r="P4" s="85"/>
      <c r="Q4" s="85"/>
      <c r="R4" s="92">
        <f t="shared" si="19"/>
        <v>0</v>
      </c>
      <c r="S4" s="85"/>
      <c r="T4" s="85"/>
      <c r="U4" s="92">
        <f t="shared" si="20"/>
        <v>0</v>
      </c>
      <c r="V4" s="85"/>
      <c r="W4" s="85"/>
      <c r="X4" s="92">
        <f t="shared" si="21"/>
        <v>0</v>
      </c>
      <c r="Y4" s="92"/>
      <c r="Z4" s="92"/>
      <c r="AA4" s="92"/>
      <c r="AB4" s="92">
        <f t="shared" si="22"/>
        <v>5.0000000000000009</v>
      </c>
      <c r="AC4" s="93"/>
      <c r="AD4" s="78"/>
      <c r="AE4" s="94">
        <f t="shared" si="1"/>
        <v>5.0000000000000009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1</v>
      </c>
      <c r="AQ4" s="77"/>
      <c r="AR4" s="77"/>
      <c r="AS4" s="77"/>
      <c r="AT4" s="44">
        <f t="shared" si="24"/>
        <v>5.0000000000000009</v>
      </c>
      <c r="AU4" s="78"/>
      <c r="AV4" s="5"/>
      <c r="AW4" s="5"/>
      <c r="AX4" s="5"/>
      <c r="AY4" s="5"/>
      <c r="AZ4" s="24">
        <f>VLOOKUP(C4,Employees!D:I,6,FALSE)</f>
        <v>10015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5.0000000000000009</v>
      </c>
      <c r="BL4" s="5">
        <f t="shared" si="35"/>
        <v>0</v>
      </c>
      <c r="BM4" s="5">
        <f t="shared" si="36"/>
        <v>5.0000000000000009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1</v>
      </c>
    </row>
    <row r="5" spans="1:89" ht="38" customHeight="1">
      <c r="A5" s="74">
        <f t="shared" si="0"/>
        <v>10388</v>
      </c>
      <c r="B5" s="81" t="s">
        <v>31</v>
      </c>
      <c r="C5" s="98" t="s">
        <v>36</v>
      </c>
      <c r="D5" s="85"/>
      <c r="E5" s="85"/>
      <c r="F5" s="92">
        <f t="shared" si="15"/>
        <v>0</v>
      </c>
      <c r="G5" s="85"/>
      <c r="H5" s="85"/>
      <c r="I5" s="92">
        <f t="shared" si="16"/>
        <v>0</v>
      </c>
      <c r="J5" s="85">
        <v>0.54166666666666663</v>
      </c>
      <c r="K5" s="85">
        <v>0.8125</v>
      </c>
      <c r="L5" s="92">
        <f t="shared" si="17"/>
        <v>6.0000000000000009</v>
      </c>
      <c r="M5" s="85"/>
      <c r="N5" s="85"/>
      <c r="O5" s="92">
        <f t="shared" si="18"/>
        <v>0</v>
      </c>
      <c r="P5" s="85"/>
      <c r="Q5" s="85"/>
      <c r="R5" s="92">
        <f t="shared" si="19"/>
        <v>0</v>
      </c>
      <c r="S5" s="85"/>
      <c r="T5" s="85"/>
      <c r="U5" s="92">
        <f t="shared" si="20"/>
        <v>0</v>
      </c>
      <c r="V5" s="85"/>
      <c r="W5" s="85"/>
      <c r="X5" s="92">
        <f t="shared" si="21"/>
        <v>0</v>
      </c>
      <c r="Y5" s="92"/>
      <c r="Z5" s="92"/>
      <c r="AA5" s="92"/>
      <c r="AB5" s="92">
        <f t="shared" si="22"/>
        <v>6.0000000000000009</v>
      </c>
      <c r="AC5" s="93"/>
      <c r="AD5" s="78">
        <v>0.5</v>
      </c>
      <c r="AE5" s="94">
        <f t="shared" si="1"/>
        <v>6.5000000000000009</v>
      </c>
      <c r="AF5" s="77"/>
      <c r="AG5" s="94">
        <f t="shared" si="2"/>
        <v>0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1</v>
      </c>
      <c r="AQ5" s="77"/>
      <c r="AR5" s="77"/>
      <c r="AS5" s="77"/>
      <c r="AT5" s="44">
        <f t="shared" si="24"/>
        <v>6.5000000000000009</v>
      </c>
      <c r="AU5" s="78" t="s">
        <v>37</v>
      </c>
      <c r="AV5" s="5"/>
      <c r="AW5" s="5"/>
      <c r="AX5" s="5"/>
      <c r="AY5" s="5"/>
      <c r="AZ5" s="24">
        <f>VLOOKUP(C5,Employees!D:I,6,FALSE)</f>
        <v>10388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6.5000000000000009</v>
      </c>
      <c r="BL5" s="5">
        <f t="shared" si="35"/>
        <v>0.5</v>
      </c>
      <c r="BM5" s="5">
        <f t="shared" si="36"/>
        <v>6.0000000000000009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1</v>
      </c>
    </row>
    <row r="6" spans="1:89" ht="38" customHeight="1">
      <c r="A6" s="74" t="str">
        <f t="shared" si="0"/>
        <v/>
      </c>
      <c r="B6" s="81"/>
      <c r="C6" s="86"/>
      <c r="D6" s="85"/>
      <c r="E6" s="85"/>
      <c r="F6" s="92">
        <f t="shared" si="15"/>
        <v>0</v>
      </c>
      <c r="G6" s="85"/>
      <c r="H6" s="85"/>
      <c r="I6" s="92">
        <f t="shared" si="16"/>
        <v>0</v>
      </c>
      <c r="J6" s="85"/>
      <c r="K6" s="85"/>
      <c r="L6" s="92">
        <f t="shared" si="17"/>
        <v>0</v>
      </c>
      <c r="M6" s="85"/>
      <c r="N6" s="85"/>
      <c r="O6" s="92">
        <f t="shared" si="18"/>
        <v>0</v>
      </c>
      <c r="P6" s="85"/>
      <c r="Q6" s="85"/>
      <c r="R6" s="92">
        <f t="shared" si="19"/>
        <v>0</v>
      </c>
      <c r="S6" s="85"/>
      <c r="T6" s="85"/>
      <c r="U6" s="92">
        <f t="shared" si="20"/>
        <v>0</v>
      </c>
      <c r="V6" s="85"/>
      <c r="W6" s="85"/>
      <c r="X6" s="92">
        <f t="shared" si="21"/>
        <v>0</v>
      </c>
      <c r="Y6" s="92"/>
      <c r="Z6" s="92"/>
      <c r="AA6" s="92"/>
      <c r="AB6" s="92">
        <f t="shared" si="22"/>
        <v>0</v>
      </c>
      <c r="AC6" s="93"/>
      <c r="AD6" s="78"/>
      <c r="AE6" s="94">
        <f t="shared" si="1"/>
        <v>0</v>
      </c>
      <c r="AF6" s="77"/>
      <c r="AG6" s="94">
        <f t="shared" si="2"/>
        <v>0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0</v>
      </c>
      <c r="AQ6" s="77"/>
      <c r="AR6" s="77"/>
      <c r="AS6" s="77"/>
      <c r="AT6" s="44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0</v>
      </c>
    </row>
    <row r="7" spans="1:89" ht="38" customHeight="1">
      <c r="A7" s="74" t="str">
        <f t="shared" si="0"/>
        <v/>
      </c>
      <c r="B7" s="81"/>
      <c r="C7" s="86"/>
      <c r="D7" s="84"/>
      <c r="E7" s="85"/>
      <c r="F7" s="92">
        <f t="shared" si="15"/>
        <v>0</v>
      </c>
      <c r="G7" s="85"/>
      <c r="H7" s="85"/>
      <c r="I7" s="92">
        <f t="shared" si="16"/>
        <v>0</v>
      </c>
      <c r="J7" s="85"/>
      <c r="K7" s="85"/>
      <c r="L7" s="92">
        <f t="shared" si="17"/>
        <v>0</v>
      </c>
      <c r="M7" s="84"/>
      <c r="N7" s="85"/>
      <c r="O7" s="92">
        <f t="shared" si="18"/>
        <v>0</v>
      </c>
      <c r="P7" s="84"/>
      <c r="Q7" s="85"/>
      <c r="R7" s="92">
        <f t="shared" si="19"/>
        <v>0</v>
      </c>
      <c r="S7" s="84"/>
      <c r="T7" s="85"/>
      <c r="U7" s="92">
        <f t="shared" si="20"/>
        <v>0</v>
      </c>
      <c r="V7" s="85"/>
      <c r="W7" s="85"/>
      <c r="X7" s="92">
        <f t="shared" si="21"/>
        <v>0</v>
      </c>
      <c r="Y7" s="92"/>
      <c r="Z7" s="92"/>
      <c r="AA7" s="92"/>
      <c r="AB7" s="92">
        <f t="shared" si="22"/>
        <v>0</v>
      </c>
      <c r="AC7" s="93"/>
      <c r="AD7" s="78"/>
      <c r="AE7" s="94">
        <f t="shared" si="1"/>
        <v>0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 t="str">
        <f t="shared" si="0"/>
        <v/>
      </c>
      <c r="B8" s="81"/>
      <c r="C8" s="86"/>
      <c r="D8" s="84"/>
      <c r="E8" s="85"/>
      <c r="F8" s="92">
        <f t="shared" si="15"/>
        <v>0</v>
      </c>
      <c r="G8" s="85"/>
      <c r="H8" s="85"/>
      <c r="I8" s="92">
        <f t="shared" si="16"/>
        <v>0</v>
      </c>
      <c r="J8" s="84"/>
      <c r="K8" s="85"/>
      <c r="L8" s="92">
        <f t="shared" si="17"/>
        <v>0</v>
      </c>
      <c r="M8" s="85"/>
      <c r="N8" s="85"/>
      <c r="O8" s="92">
        <f t="shared" si="18"/>
        <v>0</v>
      </c>
      <c r="P8" s="84"/>
      <c r="Q8" s="85"/>
      <c r="R8" s="92">
        <f t="shared" si="19"/>
        <v>0</v>
      </c>
      <c r="S8" s="84"/>
      <c r="T8" s="85"/>
      <c r="U8" s="92">
        <f t="shared" si="20"/>
        <v>0</v>
      </c>
      <c r="V8" s="85"/>
      <c r="W8" s="8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81"/>
      <c r="C9" s="86"/>
      <c r="D9" s="85"/>
      <c r="E9" s="85"/>
      <c r="F9" s="92">
        <f t="shared" si="15"/>
        <v>0</v>
      </c>
      <c r="G9" s="85"/>
      <c r="H9" s="85"/>
      <c r="I9" s="92">
        <f t="shared" si="16"/>
        <v>0</v>
      </c>
      <c r="J9" s="85"/>
      <c r="K9" s="85"/>
      <c r="L9" s="92">
        <f t="shared" si="17"/>
        <v>0</v>
      </c>
      <c r="M9" s="84"/>
      <c r="N9" s="85"/>
      <c r="O9" s="92">
        <f t="shared" si="18"/>
        <v>0</v>
      </c>
      <c r="P9" s="85"/>
      <c r="Q9" s="85"/>
      <c r="R9" s="92">
        <f t="shared" si="19"/>
        <v>0</v>
      </c>
      <c r="S9" s="84"/>
      <c r="T9" s="85"/>
      <c r="U9" s="92">
        <f t="shared" si="20"/>
        <v>0</v>
      </c>
      <c r="V9" s="85"/>
      <c r="W9" s="8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81"/>
      <c r="C10" s="86"/>
      <c r="D10" s="84"/>
      <c r="E10" s="84"/>
      <c r="F10" s="92">
        <f t="shared" si="15"/>
        <v>0</v>
      </c>
      <c r="G10" s="85"/>
      <c r="H10" s="85"/>
      <c r="I10" s="92">
        <f t="shared" si="16"/>
        <v>0</v>
      </c>
      <c r="J10" s="84"/>
      <c r="K10" s="85"/>
      <c r="L10" s="92">
        <f t="shared" si="17"/>
        <v>0</v>
      </c>
      <c r="M10" s="85"/>
      <c r="N10" s="85"/>
      <c r="O10" s="92">
        <f t="shared" si="18"/>
        <v>0</v>
      </c>
      <c r="P10" s="85"/>
      <c r="Q10" s="85"/>
      <c r="R10" s="92">
        <f t="shared" si="19"/>
        <v>0</v>
      </c>
      <c r="S10" s="84"/>
      <c r="T10" s="85"/>
      <c r="U10" s="92">
        <f t="shared" si="20"/>
        <v>0</v>
      </c>
      <c r="V10" s="85"/>
      <c r="W10" s="8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81"/>
      <c r="C11" s="86"/>
      <c r="D11" s="85"/>
      <c r="E11" s="85"/>
      <c r="F11" s="92">
        <f t="shared" si="15"/>
        <v>0</v>
      </c>
      <c r="G11" s="85"/>
      <c r="H11" s="85"/>
      <c r="I11" s="92">
        <f t="shared" si="16"/>
        <v>0</v>
      </c>
      <c r="J11" s="84"/>
      <c r="K11" s="85"/>
      <c r="L11" s="92">
        <f t="shared" si="17"/>
        <v>0</v>
      </c>
      <c r="M11" s="85"/>
      <c r="N11" s="85"/>
      <c r="O11" s="92">
        <f t="shared" si="18"/>
        <v>0</v>
      </c>
      <c r="P11" s="84"/>
      <c r="Q11" s="85"/>
      <c r="R11" s="92">
        <f t="shared" si="19"/>
        <v>0</v>
      </c>
      <c r="S11" s="75"/>
      <c r="T11" s="75"/>
      <c r="U11" s="92">
        <f t="shared" si="20"/>
        <v>0</v>
      </c>
      <c r="V11" s="84"/>
      <c r="W11" s="8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81"/>
      <c r="C12" s="86"/>
      <c r="D12" s="85"/>
      <c r="E12" s="85"/>
      <c r="F12" s="92">
        <f t="shared" si="15"/>
        <v>0</v>
      </c>
      <c r="G12" s="85"/>
      <c r="H12" s="85"/>
      <c r="I12" s="92">
        <f t="shared" si="16"/>
        <v>0</v>
      </c>
      <c r="J12" s="76"/>
      <c r="K12" s="75"/>
      <c r="L12" s="92">
        <f t="shared" si="17"/>
        <v>0</v>
      </c>
      <c r="M12" s="85"/>
      <c r="N12" s="8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81"/>
      <c r="C13" s="86"/>
      <c r="D13" s="84"/>
      <c r="E13" s="85"/>
      <c r="F13" s="92">
        <f t="shared" si="15"/>
        <v>0</v>
      </c>
      <c r="G13" s="85"/>
      <c r="H13" s="84"/>
      <c r="I13" s="92">
        <f t="shared" si="16"/>
        <v>0</v>
      </c>
      <c r="J13" s="76"/>
      <c r="K13" s="75"/>
      <c r="L13" s="92">
        <f t="shared" si="17"/>
        <v>0</v>
      </c>
      <c r="M13" s="85"/>
      <c r="N13" s="84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81"/>
      <c r="C14" s="86"/>
      <c r="D14" s="75"/>
      <c r="E14" s="75"/>
      <c r="F14" s="92">
        <f t="shared" si="15"/>
        <v>0</v>
      </c>
      <c r="G14" s="85"/>
      <c r="H14" s="85"/>
      <c r="I14" s="92">
        <f t="shared" si="16"/>
        <v>0</v>
      </c>
      <c r="J14" s="76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8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6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7"/>
      <c r="D16" s="75"/>
      <c r="E16" s="75"/>
      <c r="F16" s="92">
        <f t="shared" si="15"/>
        <v>0</v>
      </c>
      <c r="G16" s="75"/>
      <c r="H16" s="75"/>
      <c r="I16" s="92">
        <f t="shared" si="16"/>
        <v>0</v>
      </c>
      <c r="J16" s="76"/>
      <c r="K16" s="75"/>
      <c r="L16" s="92">
        <f t="shared" si="17"/>
        <v>0</v>
      </c>
      <c r="M16" s="75"/>
      <c r="N16" s="75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75"/>
      <c r="W16" s="75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7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6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75"/>
      <c r="T17" s="75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6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6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6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6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6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8"/>
      <c r="D37" s="90"/>
      <c r="E37" s="90"/>
      <c r="F37" s="44">
        <f t="shared" si="15"/>
        <v>0</v>
      </c>
      <c r="G37" s="90"/>
      <c r="H37" s="90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8"/>
      <c r="D38" s="90"/>
      <c r="E38" s="90"/>
      <c r="F38" s="44">
        <f t="shared" si="15"/>
        <v>0</v>
      </c>
      <c r="G38" s="90"/>
      <c r="H38" s="90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8"/>
      <c r="D39" s="90"/>
      <c r="E39" s="90"/>
      <c r="F39" s="44">
        <f t="shared" si="15"/>
        <v>0</v>
      </c>
      <c r="G39" s="90"/>
      <c r="H39" s="90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8"/>
      <c r="D40" s="90"/>
      <c r="E40" s="90"/>
      <c r="F40" s="44">
        <f t="shared" si="15"/>
        <v>0</v>
      </c>
      <c r="G40" s="90"/>
      <c r="H40" s="90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8"/>
      <c r="D41" s="90"/>
      <c r="E41" s="90"/>
      <c r="F41" s="44">
        <f t="shared" ref="F41:F60" si="77">BA41-BB41</f>
        <v>0</v>
      </c>
      <c r="G41" s="90"/>
      <c r="H41" s="90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8"/>
      <c r="D42" s="90"/>
      <c r="E42" s="90"/>
      <c r="F42" s="44">
        <f t="shared" si="77"/>
        <v>0</v>
      </c>
      <c r="G42" s="90"/>
      <c r="H42" s="90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8"/>
      <c r="D43" s="90"/>
      <c r="E43" s="90"/>
      <c r="F43" s="44">
        <f t="shared" si="77"/>
        <v>0</v>
      </c>
      <c r="G43" s="90"/>
      <c r="H43" s="90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8"/>
      <c r="D44" s="90"/>
      <c r="E44" s="90"/>
      <c r="F44" s="44">
        <f t="shared" si="77"/>
        <v>0</v>
      </c>
      <c r="G44" s="90"/>
      <c r="H44" s="90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8"/>
      <c r="D45" s="90"/>
      <c r="E45" s="90"/>
      <c r="F45" s="44">
        <f t="shared" si="77"/>
        <v>0</v>
      </c>
      <c r="G45" s="90"/>
      <c r="H45" s="90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8"/>
      <c r="D46" s="90"/>
      <c r="E46" s="90"/>
      <c r="F46" s="44">
        <f t="shared" si="77"/>
        <v>0</v>
      </c>
      <c r="G46" s="90"/>
      <c r="H46" s="90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8"/>
      <c r="D47" s="90"/>
      <c r="E47" s="90"/>
      <c r="F47" s="44">
        <f t="shared" si="77"/>
        <v>0</v>
      </c>
      <c r="G47" s="90"/>
      <c r="H47" s="90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8"/>
      <c r="D48" s="90"/>
      <c r="E48" s="90"/>
      <c r="F48" s="44">
        <f t="shared" ref="F48:F59" si="93">BA48-BB48</f>
        <v>0</v>
      </c>
      <c r="G48" s="90"/>
      <c r="H48" s="90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8"/>
      <c r="D49" s="90"/>
      <c r="E49" s="90"/>
      <c r="F49" s="44">
        <f t="shared" si="93"/>
        <v>0</v>
      </c>
      <c r="G49" s="90"/>
      <c r="H49" s="90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8"/>
      <c r="D50" s="90"/>
      <c r="E50" s="90"/>
      <c r="F50" s="44">
        <f t="shared" si="93"/>
        <v>0</v>
      </c>
      <c r="G50" s="90"/>
      <c r="H50" s="90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8"/>
      <c r="D51" s="90"/>
      <c r="E51" s="90"/>
      <c r="F51" s="44">
        <f t="shared" si="93"/>
        <v>0</v>
      </c>
      <c r="G51" s="90"/>
      <c r="H51" s="90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8"/>
      <c r="D52" s="90"/>
      <c r="E52" s="90"/>
      <c r="F52" s="44">
        <f t="shared" si="93"/>
        <v>0</v>
      </c>
      <c r="G52" s="90"/>
      <c r="H52" s="90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8"/>
      <c r="D53" s="90"/>
      <c r="E53" s="90"/>
      <c r="F53" s="44">
        <f t="shared" si="93"/>
        <v>0</v>
      </c>
      <c r="G53" s="90"/>
      <c r="H53" s="90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8"/>
      <c r="D54" s="90"/>
      <c r="E54" s="90"/>
      <c r="F54" s="44">
        <f t="shared" si="93"/>
        <v>0</v>
      </c>
      <c r="G54" s="90"/>
      <c r="H54" s="90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8"/>
      <c r="D55" s="90"/>
      <c r="E55" s="90"/>
      <c r="F55" s="44">
        <f t="shared" si="93"/>
        <v>0</v>
      </c>
      <c r="G55" s="90"/>
      <c r="H55" s="90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8"/>
      <c r="D56" s="90"/>
      <c r="E56" s="90"/>
      <c r="F56" s="44">
        <f t="shared" si="93"/>
        <v>0</v>
      </c>
      <c r="G56" s="90"/>
      <c r="H56" s="90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8"/>
      <c r="D57" s="90"/>
      <c r="E57" s="90"/>
      <c r="F57" s="44">
        <f t="shared" si="93"/>
        <v>0</v>
      </c>
      <c r="G57" s="90"/>
      <c r="H57" s="90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8"/>
      <c r="D58" s="90"/>
      <c r="E58" s="90"/>
      <c r="F58" s="44">
        <f t="shared" si="93"/>
        <v>0</v>
      </c>
      <c r="G58" s="90"/>
      <c r="H58" s="90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8"/>
      <c r="D59" s="90"/>
      <c r="E59" s="90"/>
      <c r="F59" s="44">
        <f t="shared" si="93"/>
        <v>0</v>
      </c>
      <c r="G59" s="90"/>
      <c r="H59" s="90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8"/>
      <c r="D60" s="90"/>
      <c r="E60" s="90"/>
      <c r="F60" s="44">
        <f t="shared" si="77"/>
        <v>0</v>
      </c>
      <c r="G60" s="90"/>
      <c r="H60" s="90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8"/>
      <c r="D61" s="90"/>
      <c r="E61" s="90"/>
      <c r="F61" s="44">
        <f t="shared" si="15"/>
        <v>0</v>
      </c>
      <c r="G61" s="90"/>
      <c r="H61" s="90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8"/>
      <c r="D62" s="90"/>
      <c r="E62" s="90"/>
      <c r="F62" s="44">
        <f t="shared" si="15"/>
        <v>0</v>
      </c>
      <c r="G62" s="90"/>
      <c r="H62" s="90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8"/>
      <c r="D63" s="90"/>
      <c r="E63" s="90"/>
      <c r="F63" s="44">
        <f t="shared" si="15"/>
        <v>0</v>
      </c>
      <c r="G63" s="90"/>
      <c r="H63" s="90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8"/>
      <c r="D64" s="90"/>
      <c r="E64" s="90"/>
      <c r="F64" s="44">
        <f t="shared" si="15"/>
        <v>0</v>
      </c>
      <c r="G64" s="90"/>
      <c r="H64" s="90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8"/>
      <c r="D65" s="90"/>
      <c r="E65" s="90"/>
      <c r="F65" s="44">
        <f t="shared" si="15"/>
        <v>0</v>
      </c>
      <c r="G65" s="90"/>
      <c r="H65" s="90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8"/>
      <c r="D66" s="90"/>
      <c r="E66" s="90"/>
      <c r="F66" s="44">
        <f t="shared" si="15"/>
        <v>0</v>
      </c>
      <c r="G66" s="90"/>
      <c r="H66" s="90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8"/>
      <c r="D67" s="90"/>
      <c r="E67" s="90"/>
      <c r="F67" s="44">
        <f t="shared" si="15"/>
        <v>0</v>
      </c>
      <c r="G67" s="90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8"/>
      <c r="D68" s="90"/>
      <c r="E68" s="90"/>
      <c r="F68" s="44">
        <f t="shared" si="15"/>
        <v>0</v>
      </c>
      <c r="G68" s="90"/>
      <c r="H68" s="90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8"/>
      <c r="D69" s="90"/>
      <c r="E69" s="90"/>
      <c r="F69" s="44">
        <f t="shared" si="15"/>
        <v>0</v>
      </c>
      <c r="G69" s="90"/>
      <c r="H69" s="90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8"/>
      <c r="D70" s="90"/>
      <c r="E70" s="90"/>
      <c r="F70" s="44">
        <f t="shared" ref="F70:F100" si="152">BA70-BB70</f>
        <v>0</v>
      </c>
      <c r="G70" s="90"/>
      <c r="H70" s="90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8"/>
      <c r="D71" s="90"/>
      <c r="E71" s="90"/>
      <c r="F71" s="44">
        <f t="shared" si="152"/>
        <v>0</v>
      </c>
      <c r="G71" s="90"/>
      <c r="H71" s="90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8"/>
      <c r="D72" s="90"/>
      <c r="E72" s="90"/>
      <c r="F72" s="44">
        <f t="shared" si="152"/>
        <v>0</v>
      </c>
      <c r="G72" s="90"/>
      <c r="H72" s="90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8"/>
      <c r="D73" s="90"/>
      <c r="E73" s="90"/>
      <c r="F73" s="44">
        <f t="shared" si="152"/>
        <v>0</v>
      </c>
      <c r="G73" s="90"/>
      <c r="H73" s="90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8"/>
      <c r="D74" s="90"/>
      <c r="E74" s="90"/>
      <c r="F74" s="44">
        <f t="shared" si="152"/>
        <v>0</v>
      </c>
      <c r="G74" s="90"/>
      <c r="H74" s="90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8"/>
      <c r="D75" s="90"/>
      <c r="E75" s="90"/>
      <c r="F75" s="44">
        <f t="shared" si="152"/>
        <v>0</v>
      </c>
      <c r="G75" s="90"/>
      <c r="H75" s="90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8"/>
      <c r="D76" s="90"/>
      <c r="E76" s="90"/>
      <c r="F76" s="44">
        <f t="shared" si="152"/>
        <v>0</v>
      </c>
      <c r="G76" s="90"/>
      <c r="H76" s="90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8"/>
      <c r="D77" s="90"/>
      <c r="E77" s="90"/>
      <c r="F77" s="44">
        <f t="shared" si="152"/>
        <v>0</v>
      </c>
      <c r="G77" s="90"/>
      <c r="H77" s="90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8"/>
      <c r="D78" s="90"/>
      <c r="E78" s="90"/>
      <c r="F78" s="44">
        <f t="shared" si="152"/>
        <v>0</v>
      </c>
      <c r="G78" s="90"/>
      <c r="H78" s="90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8"/>
      <c r="D79" s="90"/>
      <c r="E79" s="90"/>
      <c r="F79" s="44">
        <f t="shared" si="152"/>
        <v>0</v>
      </c>
      <c r="G79" s="90"/>
      <c r="H79" s="90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8"/>
      <c r="D80" s="90"/>
      <c r="E80" s="90"/>
      <c r="F80" s="44">
        <f t="shared" si="152"/>
        <v>0</v>
      </c>
      <c r="G80" s="90"/>
      <c r="H80" s="90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8"/>
      <c r="D81" s="90"/>
      <c r="E81" s="90"/>
      <c r="F81" s="44">
        <f t="shared" si="152"/>
        <v>0</v>
      </c>
      <c r="G81" s="90"/>
      <c r="H81" s="90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8"/>
      <c r="D82" s="90"/>
      <c r="E82" s="90"/>
      <c r="F82" s="44">
        <f t="shared" si="152"/>
        <v>0</v>
      </c>
      <c r="G82" s="90"/>
      <c r="H82" s="90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8"/>
      <c r="D83" s="90"/>
      <c r="E83" s="90"/>
      <c r="F83" s="44">
        <f t="shared" si="152"/>
        <v>0</v>
      </c>
      <c r="G83" s="90"/>
      <c r="H83" s="90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8"/>
      <c r="D84" s="90"/>
      <c r="E84" s="90"/>
      <c r="F84" s="44">
        <f t="shared" si="152"/>
        <v>0</v>
      </c>
      <c r="G84" s="90"/>
      <c r="H84" s="90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8"/>
      <c r="D85" s="90"/>
      <c r="E85" s="90"/>
      <c r="F85" s="44">
        <f t="shared" si="152"/>
        <v>0</v>
      </c>
      <c r="G85" s="90"/>
      <c r="H85" s="90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8"/>
      <c r="D86" s="90"/>
      <c r="E86" s="90"/>
      <c r="F86" s="44">
        <f t="shared" si="152"/>
        <v>0</v>
      </c>
      <c r="G86" s="90"/>
      <c r="H86" s="90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8"/>
      <c r="D87" s="90"/>
      <c r="E87" s="90"/>
      <c r="F87" s="44">
        <f t="shared" si="152"/>
        <v>0</v>
      </c>
      <c r="G87" s="90"/>
      <c r="H87" s="90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8"/>
      <c r="D88" s="90"/>
      <c r="E88" s="90"/>
      <c r="F88" s="44">
        <f t="shared" si="152"/>
        <v>0</v>
      </c>
      <c r="G88" s="90"/>
      <c r="H88" s="90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8"/>
      <c r="D89" s="90"/>
      <c r="E89" s="90"/>
      <c r="F89" s="44">
        <f t="shared" si="152"/>
        <v>0</v>
      </c>
      <c r="G89" s="90"/>
      <c r="H89" s="90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8"/>
      <c r="D90" s="90"/>
      <c r="E90" s="90"/>
      <c r="F90" s="44">
        <f t="shared" si="152"/>
        <v>0</v>
      </c>
      <c r="G90" s="90"/>
      <c r="H90" s="90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8"/>
      <c r="D91" s="90"/>
      <c r="E91" s="90"/>
      <c r="F91" s="44">
        <f t="shared" si="152"/>
        <v>0</v>
      </c>
      <c r="G91" s="90"/>
      <c r="H91" s="90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8"/>
      <c r="D92" s="90"/>
      <c r="E92" s="90"/>
      <c r="F92" s="44">
        <f t="shared" si="152"/>
        <v>0</v>
      </c>
      <c r="G92" s="90"/>
      <c r="H92" s="90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8"/>
      <c r="D93" s="90"/>
      <c r="E93" s="90"/>
      <c r="F93" s="44">
        <f t="shared" si="152"/>
        <v>0</v>
      </c>
      <c r="G93" s="90"/>
      <c r="H93" s="90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8"/>
      <c r="D94" s="90"/>
      <c r="E94" s="90"/>
      <c r="F94" s="44">
        <f t="shared" si="152"/>
        <v>0</v>
      </c>
      <c r="G94" s="90"/>
      <c r="H94" s="90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8"/>
      <c r="D95" s="90"/>
      <c r="E95" s="90"/>
      <c r="F95" s="44">
        <f t="shared" si="152"/>
        <v>0</v>
      </c>
      <c r="G95" s="90"/>
      <c r="H95" s="90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8"/>
      <c r="D96" s="90"/>
      <c r="E96" s="90"/>
      <c r="F96" s="44">
        <f t="shared" si="152"/>
        <v>0</v>
      </c>
      <c r="G96" s="90"/>
      <c r="H96" s="90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8"/>
      <c r="D97" s="90"/>
      <c r="E97" s="90"/>
      <c r="F97" s="44">
        <f t="shared" si="152"/>
        <v>0</v>
      </c>
      <c r="G97" s="90"/>
      <c r="H97" s="90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8"/>
      <c r="D98" s="90"/>
      <c r="E98" s="90"/>
      <c r="F98" s="44">
        <f t="shared" si="152"/>
        <v>0</v>
      </c>
      <c r="G98" s="90"/>
      <c r="H98" s="90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8"/>
      <c r="D99" s="90"/>
      <c r="E99" s="90"/>
      <c r="F99" s="44">
        <f t="shared" si="152"/>
        <v>0</v>
      </c>
      <c r="G99" s="90"/>
      <c r="H99" s="90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8"/>
      <c r="D100" s="90"/>
      <c r="E100" s="90"/>
      <c r="F100" s="44">
        <f t="shared" si="152"/>
        <v>0</v>
      </c>
      <c r="G100" s="90"/>
      <c r="H100" s="90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5" operator="equal">
      <formula>"Pub"</formula>
    </cfRule>
  </conditionalFormatting>
  <conditionalFormatting sqref="F2:F100 I2:I100 L2:L100 O2:O100 R2:R100 U2:U100 X2:AB100 AT2:AT100">
    <cfRule type="cellIs" dxfId="18" priority="697" operator="lessThan">
      <formula>0</formula>
    </cfRule>
    <cfRule type="cellIs" dxfId="17" priority="698" operator="between">
      <formula>3</formula>
      <formula>0.01</formula>
    </cfRule>
    <cfRule type="cellIs" dxfId="16" priority="770" operator="lessThan">
      <formula>SUMIF($C:$C,$C2,F:F)</formula>
    </cfRule>
  </conditionalFormatting>
  <conditionalFormatting sqref="AD2:AD100">
    <cfRule type="notContainsBlanks" dxfId="15" priority="2">
      <formula>LEN(TRIM(AD2))&gt;0</formula>
    </cfRule>
  </conditionalFormatting>
  <conditionalFormatting sqref="AF2:AF100 AJ2:AJ100 AL2:AL100 AN2:AN100 AQ2:AS100">
    <cfRule type="notContainsBlanks" dxfId="14" priority="771">
      <formula>LEN(TRIM(AF2))&gt;0</formula>
    </cfRule>
  </conditionalFormatting>
  <conditionalFormatting sqref="AH2:AH100">
    <cfRule type="notContainsBlanks" dxfId="13" priority="1">
      <formula>LEN(TRIM(AH2))&gt;0</formula>
    </cfRule>
  </conditionalFormatting>
  <conditionalFormatting sqref="AT1">
    <cfRule type="cellIs" dxfId="12" priority="690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K9" sqref="K9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0</v>
      </c>
      <c r="B1" s="19" t="s">
        <v>1</v>
      </c>
      <c r="C1" s="19" t="s">
        <v>2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3</v>
      </c>
      <c r="AD1" s="11" t="s">
        <v>4</v>
      </c>
      <c r="AE1" s="20" t="s">
        <v>5</v>
      </c>
      <c r="AF1" s="11" t="s">
        <v>4</v>
      </c>
      <c r="AG1" s="20" t="s">
        <v>6</v>
      </c>
      <c r="AH1" s="11" t="s">
        <v>4</v>
      </c>
      <c r="AI1" s="20" t="s">
        <v>7</v>
      </c>
      <c r="AJ1" s="11" t="s">
        <v>4</v>
      </c>
      <c r="AK1" s="20" t="s">
        <v>8</v>
      </c>
      <c r="AL1" s="11" t="s">
        <v>4</v>
      </c>
      <c r="AM1" s="20" t="s">
        <v>9</v>
      </c>
      <c r="AN1" s="11" t="s">
        <v>4</v>
      </c>
      <c r="AO1" s="20" t="s">
        <v>10</v>
      </c>
      <c r="AP1" s="29" t="s">
        <v>11</v>
      </c>
      <c r="AQ1" s="11" t="s">
        <v>12</v>
      </c>
      <c r="AR1" s="11" t="s">
        <v>13</v>
      </c>
      <c r="AS1" s="11" t="s">
        <v>14</v>
      </c>
      <c r="AT1" s="62" t="s">
        <v>15</v>
      </c>
      <c r="AU1" s="19" t="s">
        <v>16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0</v>
      </c>
      <c r="BA1" s="35" t="s">
        <v>17</v>
      </c>
      <c r="BB1" s="35" t="s">
        <v>18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19</v>
      </c>
      <c r="BG1" s="36" t="s">
        <v>20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21</v>
      </c>
      <c r="BL1" s="36" t="s">
        <v>22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23</v>
      </c>
      <c r="BQ1" s="36" t="s">
        <v>24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25</v>
      </c>
      <c r="BV1" s="36" t="s">
        <v>26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27</v>
      </c>
      <c r="CA1" s="36" t="s">
        <v>28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29</v>
      </c>
      <c r="CF1" s="36" t="s">
        <v>30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11</v>
      </c>
    </row>
    <row r="2" spans="1:89" ht="47" customHeight="1">
      <c r="A2" s="74" t="str">
        <f t="shared" ref="A2:A33" si="0">IF(ISNA(AZ2),"",AZ2)</f>
        <v/>
      </c>
      <c r="B2" s="81"/>
      <c r="C2" s="91"/>
      <c r="D2" s="75"/>
      <c r="E2" s="75"/>
      <c r="F2" s="92">
        <f>BA2-BB2</f>
        <v>0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/>
      <c r="N2" s="76"/>
      <c r="O2" s="92">
        <f>BP2-BQ2</f>
        <v>0</v>
      </c>
      <c r="P2" s="75"/>
      <c r="Q2" s="76"/>
      <c r="R2" s="92">
        <f>BU2-BV2</f>
        <v>0</v>
      </c>
      <c r="S2" s="75"/>
      <c r="T2" s="75"/>
      <c r="U2" s="92">
        <f>BZ2-CA2</f>
        <v>0</v>
      </c>
      <c r="V2" s="75"/>
      <c r="W2" s="76"/>
      <c r="X2" s="92">
        <f>CE2-CF2</f>
        <v>0</v>
      </c>
      <c r="Y2" s="92"/>
      <c r="Z2" s="92"/>
      <c r="AA2" s="92"/>
      <c r="AB2" s="96">
        <f>SUM(F2,I2,L2,O2,R2,U2,X2)</f>
        <v>0</v>
      </c>
      <c r="AC2" s="93"/>
      <c r="AD2" s="78"/>
      <c r="AE2" s="94">
        <f>SUMIF($BC$1:$CI$1,AE$1,$BC2:$CI2)+AD2</f>
        <v>0</v>
      </c>
      <c r="AF2" s="78"/>
      <c r="AG2" s="94">
        <f>SUMIF($BC$1:$CI$1,AG$1,$BC2:$CI2)+AF2</f>
        <v>0</v>
      </c>
      <c r="AH2" s="78"/>
      <c r="AI2" s="94">
        <f>SUMIF($BC$1:$CI$1,AI$1,$BC2:$CI2)+AH2</f>
        <v>0</v>
      </c>
      <c r="AJ2" s="77"/>
      <c r="AK2" s="94">
        <f>SUMIF($BC$1:$CI$1,AK$1,$BC2:$CI2)+AJ2</f>
        <v>0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0</v>
      </c>
      <c r="AQ2" s="77"/>
      <c r="AR2" s="77"/>
      <c r="AS2" s="77"/>
      <c r="AT2" s="63">
        <f>AE2+AG2+AI2+AK2+AM2+AO2+SUM(AQ2:AS2)</f>
        <v>0</v>
      </c>
      <c r="AU2" s="78"/>
      <c r="AV2" s="5"/>
      <c r="AW2" s="5"/>
      <c r="AX2" s="5"/>
      <c r="AY2" s="5"/>
      <c r="AZ2" s="24" t="e">
        <f>VLOOKUP(C2,Employees!D:I,6,FALSE)</f>
        <v>#N/A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0</v>
      </c>
    </row>
    <row r="3" spans="1:89" ht="47" customHeight="1">
      <c r="A3" s="74" t="str">
        <f t="shared" si="0"/>
        <v/>
      </c>
      <c r="B3" s="81"/>
      <c r="C3" s="91"/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5"/>
      <c r="Q3" s="85"/>
      <c r="R3" s="92">
        <f t="shared" ref="R3:R74" si="13">BU3-BV3</f>
        <v>0</v>
      </c>
      <c r="S3" s="85"/>
      <c r="T3" s="85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1"/>
      <c r="C4" s="86"/>
      <c r="D4" s="75"/>
      <c r="E4" s="75"/>
      <c r="F4" s="92">
        <f t="shared" si="9"/>
        <v>0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/>
      <c r="T4" s="75"/>
      <c r="U4" s="92">
        <f t="shared" si="14"/>
        <v>0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0</v>
      </c>
      <c r="AC4" s="93"/>
      <c r="AD4" s="78"/>
      <c r="AE4" s="94">
        <f t="shared" si="17"/>
        <v>0</v>
      </c>
      <c r="AF4" s="78"/>
      <c r="AG4" s="94">
        <f t="shared" si="18"/>
        <v>0</v>
      </c>
      <c r="AH4" s="78"/>
      <c r="AI4" s="94">
        <f t="shared" si="19"/>
        <v>0</v>
      </c>
      <c r="AJ4" s="77"/>
      <c r="AK4" s="94">
        <f t="shared" si="20"/>
        <v>0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 t="str">
        <f t="shared" si="0"/>
        <v/>
      </c>
      <c r="B5" s="81"/>
      <c r="C5" s="86"/>
      <c r="D5" s="76"/>
      <c r="E5" s="75"/>
      <c r="F5" s="92">
        <f t="shared" si="9"/>
        <v>0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/>
      <c r="N5" s="75"/>
      <c r="O5" s="92">
        <f t="shared" si="12"/>
        <v>0</v>
      </c>
      <c r="P5" s="75"/>
      <c r="Q5" s="75"/>
      <c r="R5" s="92">
        <f t="shared" si="13"/>
        <v>0</v>
      </c>
      <c r="S5" s="76"/>
      <c r="T5" s="75"/>
      <c r="U5" s="92">
        <f t="shared" si="14"/>
        <v>0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0</v>
      </c>
      <c r="AC5" s="93"/>
      <c r="AD5" s="78"/>
      <c r="AE5" s="94">
        <f t="shared" si="17"/>
        <v>0</v>
      </c>
      <c r="AF5" s="78"/>
      <c r="AG5" s="94">
        <f t="shared" si="18"/>
        <v>0</v>
      </c>
      <c r="AH5" s="78"/>
      <c r="AI5" s="94">
        <f t="shared" si="19"/>
        <v>0</v>
      </c>
      <c r="AJ5" s="77"/>
      <c r="AK5" s="94">
        <f t="shared" si="20"/>
        <v>0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 t="e">
        <f>VLOOKUP(C5,Employees!D:I,6,FALSE)</f>
        <v>#N/A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 t="str">
        <f t="shared" si="0"/>
        <v/>
      </c>
      <c r="B6" s="81"/>
      <c r="C6" s="86"/>
      <c r="D6" s="76"/>
      <c r="E6" s="75"/>
      <c r="F6" s="92">
        <f t="shared" si="9"/>
        <v>0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/>
      <c r="Q6" s="75"/>
      <c r="R6" s="92">
        <f t="shared" si="13"/>
        <v>0</v>
      </c>
      <c r="S6" s="75"/>
      <c r="T6" s="75"/>
      <c r="U6" s="92">
        <f t="shared" si="14"/>
        <v>0</v>
      </c>
      <c r="V6" s="75"/>
      <c r="W6" s="76"/>
      <c r="X6" s="92">
        <f t="shared" si="15"/>
        <v>0</v>
      </c>
      <c r="Y6" s="92"/>
      <c r="Z6" s="92"/>
      <c r="AA6" s="92"/>
      <c r="AB6" s="96">
        <f t="shared" si="16"/>
        <v>0</v>
      </c>
      <c r="AC6" s="93"/>
      <c r="AD6" s="78"/>
      <c r="AE6" s="94">
        <f t="shared" si="17"/>
        <v>0</v>
      </c>
      <c r="AF6" s="78"/>
      <c r="AG6" s="94">
        <f t="shared" si="18"/>
        <v>0</v>
      </c>
      <c r="AH6" s="78"/>
      <c r="AI6" s="94">
        <f t="shared" si="19"/>
        <v>0</v>
      </c>
      <c r="AJ6" s="77"/>
      <c r="AK6" s="94">
        <f t="shared" si="20"/>
        <v>0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0</v>
      </c>
      <c r="AQ6" s="77"/>
      <c r="AR6" s="77"/>
      <c r="AS6" s="77"/>
      <c r="AT6" s="63">
        <f t="shared" si="24"/>
        <v>0</v>
      </c>
      <c r="AU6" s="78"/>
      <c r="AV6" s="5"/>
      <c r="AW6" s="5"/>
      <c r="AX6" s="5"/>
      <c r="AY6" s="5"/>
      <c r="AZ6" s="24" t="e">
        <f>VLOOKUP(C6,Employees!D:I,6,FALSE)</f>
        <v>#N/A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0</v>
      </c>
      <c r="CF6" s="5">
        <f t="shared" si="56"/>
        <v>0</v>
      </c>
      <c r="CG6" s="5">
        <f t="shared" si="57"/>
        <v>0</v>
      </c>
      <c r="CH6" s="5">
        <f t="shared" si="58"/>
        <v>0</v>
      </c>
      <c r="CI6" s="5">
        <f t="shared" si="59"/>
        <v>0</v>
      </c>
      <c r="CJ6" s="5"/>
      <c r="CK6" s="4">
        <f t="shared" si="8"/>
        <v>0</v>
      </c>
    </row>
    <row r="7" spans="1:89" ht="47" customHeight="1">
      <c r="A7" s="74" t="str">
        <f t="shared" si="0"/>
        <v/>
      </c>
      <c r="B7" s="81"/>
      <c r="C7" s="86"/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0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0</v>
      </c>
      <c r="AQ7" s="77"/>
      <c r="AR7" s="77"/>
      <c r="AS7" s="77"/>
      <c r="AT7" s="63">
        <f t="shared" si="24"/>
        <v>0</v>
      </c>
      <c r="AU7" s="78"/>
      <c r="AV7" s="5"/>
      <c r="AW7" s="5"/>
      <c r="AX7" s="5"/>
      <c r="AY7" s="5"/>
      <c r="AZ7" s="24" t="e">
        <f>VLOOKUP(C7,Employees!D:I,6,FALSE)</f>
        <v>#N/A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0</v>
      </c>
    </row>
    <row r="8" spans="1:89" ht="47" customHeight="1">
      <c r="A8" s="74" t="str">
        <f t="shared" si="0"/>
        <v/>
      </c>
      <c r="B8" s="81"/>
      <c r="C8" s="86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>
        <f t="shared" si="0"/>
        <v>10059</v>
      </c>
      <c r="B9" s="81" t="s">
        <v>31</v>
      </c>
      <c r="C9" s="98" t="s">
        <v>32</v>
      </c>
      <c r="D9" s="76">
        <v>0.375</v>
      </c>
      <c r="E9" s="75">
        <v>0.625</v>
      </c>
      <c r="F9" s="92">
        <f t="shared" si="9"/>
        <v>5.5</v>
      </c>
      <c r="G9" s="75">
        <v>0.375</v>
      </c>
      <c r="H9" s="76">
        <v>0.85416666666666663</v>
      </c>
      <c r="I9" s="92">
        <f t="shared" si="10"/>
        <v>10.5</v>
      </c>
      <c r="J9" s="76">
        <v>0.5625</v>
      </c>
      <c r="K9" s="76">
        <v>0.8125</v>
      </c>
      <c r="L9" s="92">
        <f t="shared" si="11"/>
        <v>5.5</v>
      </c>
      <c r="M9" s="75"/>
      <c r="N9" s="75"/>
      <c r="O9" s="92">
        <f t="shared" si="12"/>
        <v>0</v>
      </c>
      <c r="P9" s="76">
        <v>0.375</v>
      </c>
      <c r="Q9" s="75">
        <v>0.83333333333333337</v>
      </c>
      <c r="R9" s="92">
        <f t="shared" si="13"/>
        <v>10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31.5</v>
      </c>
      <c r="AC9" s="93"/>
      <c r="AD9" s="78">
        <v>5</v>
      </c>
      <c r="AE9" s="94">
        <f t="shared" si="17"/>
        <v>36.5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4</v>
      </c>
      <c r="AQ9" s="77"/>
      <c r="AR9" s="77"/>
      <c r="AS9" s="77"/>
      <c r="AT9" s="63">
        <f t="shared" si="24"/>
        <v>36.5</v>
      </c>
      <c r="AU9" s="97" t="s">
        <v>33</v>
      </c>
      <c r="AV9" s="5"/>
      <c r="AW9" s="5"/>
      <c r="AX9" s="5"/>
      <c r="AY9" s="5"/>
      <c r="AZ9" s="24">
        <f>VLOOKUP(C9,Employees!D:I,6,FALSE)</f>
        <v>10059</v>
      </c>
      <c r="BA9" s="5">
        <f t="shared" si="25"/>
        <v>6</v>
      </c>
      <c r="BB9" s="5">
        <f t="shared" si="26"/>
        <v>0.5</v>
      </c>
      <c r="BC9" s="5">
        <f t="shared" si="27"/>
        <v>5.5</v>
      </c>
      <c r="BD9" s="5">
        <f t="shared" si="28"/>
        <v>0</v>
      </c>
      <c r="BE9" s="5">
        <f t="shared" si="29"/>
        <v>0</v>
      </c>
      <c r="BF9" s="5">
        <f t="shared" si="30"/>
        <v>11.5</v>
      </c>
      <c r="BG9" s="5">
        <f t="shared" si="31"/>
        <v>1</v>
      </c>
      <c r="BH9" s="5">
        <f t="shared" si="32"/>
        <v>10.5</v>
      </c>
      <c r="BI9" s="5">
        <f t="shared" si="33"/>
        <v>0</v>
      </c>
      <c r="BJ9" s="5">
        <f t="shared" si="34"/>
        <v>0</v>
      </c>
      <c r="BK9" s="5">
        <f t="shared" si="35"/>
        <v>6</v>
      </c>
      <c r="BL9" s="5">
        <f t="shared" si="36"/>
        <v>0.5</v>
      </c>
      <c r="BM9" s="5">
        <f t="shared" si="37"/>
        <v>5.5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11</v>
      </c>
      <c r="BV9" s="5">
        <f t="shared" si="46"/>
        <v>1</v>
      </c>
      <c r="BW9" s="5">
        <f t="shared" si="47"/>
        <v>10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4</v>
      </c>
    </row>
    <row r="10" spans="1:89" ht="47" customHeight="1">
      <c r="A10" s="74">
        <f t="shared" si="0"/>
        <v>10090</v>
      </c>
      <c r="B10" s="81" t="s">
        <v>31</v>
      </c>
      <c r="C10" s="98" t="s">
        <v>34</v>
      </c>
      <c r="D10" s="76">
        <v>0.625</v>
      </c>
      <c r="E10" s="75">
        <v>0.8125</v>
      </c>
      <c r="F10" s="92">
        <f t="shared" si="9"/>
        <v>4.5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4.5</v>
      </c>
      <c r="AC10" s="93"/>
      <c r="AD10" s="78"/>
      <c r="AE10" s="94">
        <f t="shared" si="17"/>
        <v>4.5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1</v>
      </c>
      <c r="AQ10" s="77"/>
      <c r="AR10" s="77"/>
      <c r="AS10" s="77"/>
      <c r="AT10" s="63">
        <f t="shared" si="24"/>
        <v>4.5</v>
      </c>
      <c r="AU10" s="78"/>
      <c r="AV10" s="5"/>
      <c r="AW10" s="5"/>
      <c r="AX10" s="5"/>
      <c r="AY10" s="5"/>
      <c r="AZ10" s="24">
        <f>VLOOKUP(C10,Employees!D:I,6,FALSE)</f>
        <v>10090</v>
      </c>
      <c r="BA10" s="5">
        <f t="shared" si="25"/>
        <v>4.5</v>
      </c>
      <c r="BB10" s="5">
        <f t="shared" si="26"/>
        <v>0</v>
      </c>
      <c r="BC10" s="5">
        <f t="shared" si="27"/>
        <v>4.5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10015</v>
      </c>
      <c r="B11" s="81" t="s">
        <v>31</v>
      </c>
      <c r="C11" s="98" t="s">
        <v>35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>
        <v>0.375</v>
      </c>
      <c r="K11" s="76">
        <v>0.58333333333333337</v>
      </c>
      <c r="L11" s="92">
        <f t="shared" si="11"/>
        <v>5.0000000000000009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5.0000000000000009</v>
      </c>
      <c r="AC11" s="93"/>
      <c r="AD11" s="78"/>
      <c r="AE11" s="94">
        <f t="shared" si="17"/>
        <v>5.0000000000000009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1</v>
      </c>
      <c r="AQ11" s="77"/>
      <c r="AR11" s="77"/>
      <c r="AS11" s="77"/>
      <c r="AT11" s="63">
        <f t="shared" si="24"/>
        <v>5.0000000000000009</v>
      </c>
      <c r="AU11" s="78"/>
      <c r="AV11" s="5"/>
      <c r="AW11" s="5"/>
      <c r="AX11" s="5"/>
      <c r="AY11" s="5"/>
      <c r="AZ11" s="24">
        <f>VLOOKUP(C11,Employees!D:I,6,FALSE)</f>
        <v>10015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5.0000000000000009</v>
      </c>
      <c r="BL11" s="5">
        <f t="shared" si="36"/>
        <v>0</v>
      </c>
      <c r="BM11" s="5">
        <f t="shared" si="37"/>
        <v>5.0000000000000009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>
        <f t="shared" si="0"/>
        <v>10388</v>
      </c>
      <c r="B12" s="81" t="s">
        <v>31</v>
      </c>
      <c r="C12" s="98" t="s">
        <v>36</v>
      </c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>
        <v>0.5625</v>
      </c>
      <c r="N12" s="75">
        <v>0.8125</v>
      </c>
      <c r="O12" s="92">
        <f t="shared" si="12"/>
        <v>5.5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5.5</v>
      </c>
      <c r="AC12" s="93"/>
      <c r="AD12" s="78">
        <v>0.5</v>
      </c>
      <c r="AE12" s="94">
        <f t="shared" si="17"/>
        <v>6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1</v>
      </c>
      <c r="AQ12" s="77"/>
      <c r="AR12" s="77"/>
      <c r="AS12" s="77"/>
      <c r="AT12" s="63">
        <f t="shared" si="24"/>
        <v>6</v>
      </c>
      <c r="AU12" s="78" t="s">
        <v>37</v>
      </c>
      <c r="AV12" s="5"/>
      <c r="AW12" s="5"/>
      <c r="AX12" s="5"/>
      <c r="AY12" s="5"/>
      <c r="AZ12" s="24">
        <f>VLOOKUP(C12,Employees!D:I,6,FALSE)</f>
        <v>10388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6</v>
      </c>
      <c r="BQ12" s="5">
        <f t="shared" si="41"/>
        <v>0.5</v>
      </c>
      <c r="BR12" s="5">
        <f t="shared" si="42"/>
        <v>5.5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1</v>
      </c>
    </row>
    <row r="13" spans="1:89" ht="47" customHeight="1">
      <c r="A13" s="74">
        <f t="shared" si="0"/>
        <v>10375</v>
      </c>
      <c r="B13" s="81" t="s">
        <v>31</v>
      </c>
      <c r="C13" s="99" t="s">
        <v>38</v>
      </c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>
        <v>0.375</v>
      </c>
      <c r="N13" s="75">
        <v>0.60416666666666663</v>
      </c>
      <c r="O13" s="92">
        <f t="shared" si="12"/>
        <v>4.9999999999999991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4.9999999999999991</v>
      </c>
      <c r="AC13" s="93"/>
      <c r="AD13" s="77">
        <v>0.5</v>
      </c>
      <c r="AE13" s="94">
        <f t="shared" si="17"/>
        <v>5.4999999999999991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1</v>
      </c>
      <c r="AQ13" s="77"/>
      <c r="AR13" s="77"/>
      <c r="AS13" s="77"/>
      <c r="AT13" s="63">
        <f t="shared" si="24"/>
        <v>5.4999999999999991</v>
      </c>
      <c r="AU13" s="78" t="s">
        <v>37</v>
      </c>
      <c r="AV13" s="5"/>
      <c r="AW13" s="5"/>
      <c r="AX13" s="5"/>
      <c r="AY13" s="5"/>
      <c r="AZ13" s="24">
        <f>VLOOKUP(C13,Employees!D:I,6,FALSE)</f>
        <v>10375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5.4999999999999991</v>
      </c>
      <c r="BQ13" s="5">
        <f t="shared" si="41"/>
        <v>0.5</v>
      </c>
      <c r="BR13" s="5">
        <f t="shared" si="42"/>
        <v>4.9999999999999991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1</v>
      </c>
    </row>
    <row r="14" spans="1:89" ht="47" customHeight="1">
      <c r="A14" s="74" t="str">
        <f t="shared" si="0"/>
        <v/>
      </c>
      <c r="B14" s="81"/>
      <c r="C14" s="86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7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7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2" operator="equal">
      <formula>"Pub"</formula>
    </cfRule>
  </conditionalFormatting>
  <conditionalFormatting sqref="F2:F100 I2:I100 L2:L100 O2:O100 R2:R100 U2:U100 X2:AB100 AT2:AT100">
    <cfRule type="cellIs" dxfId="10" priority="733" operator="lessThan">
      <formula>0</formula>
    </cfRule>
    <cfRule type="cellIs" dxfId="9" priority="734" operator="between">
      <formula>3</formula>
      <formula>0.01</formula>
    </cfRule>
    <cfRule type="cellIs" dxfId="8" priority="735" operator="lessThan">
      <formula>SUMIF($C:$C,$C2,F:F)</formula>
    </cfRule>
  </conditionalFormatting>
  <conditionalFormatting sqref="AD2:AD100">
    <cfRule type="notContainsBlanks" dxfId="7" priority="3">
      <formula>LEN(TRIM(AD2))&gt;0</formula>
    </cfRule>
  </conditionalFormatting>
  <conditionalFormatting sqref="AF2:AF100">
    <cfRule type="notContainsBlanks" dxfId="6" priority="2">
      <formula>LEN(TRIM(AF2))&gt;0</formula>
    </cfRule>
  </conditionalFormatting>
  <conditionalFormatting sqref="AH2:AH100">
    <cfRule type="notContainsBlanks" dxfId="5" priority="1">
      <formula>LEN(TRIM(AH2))&gt;0</formula>
    </cfRule>
  </conditionalFormatting>
  <conditionalFormatting sqref="AL2:AL100">
    <cfRule type="notContainsBlanks" dxfId="4" priority="260">
      <formula>LEN(TRIM(AL2))&gt;0</formula>
    </cfRule>
  </conditionalFormatting>
  <conditionalFormatting sqref="AL21:AL29 AL61:AL63 AL75:AL100 AJ2:AJ100 AN2:AN100 AQ2:AS100">
    <cfRule type="notContainsBlanks" dxfId="3" priority="736">
      <formula>LEN(TRIM(AJ2))&gt;0</formula>
    </cfRule>
  </conditionalFormatting>
  <conditionalFormatting sqref="AT1">
    <cfRule type="cellIs" dxfId="2" priority="728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D3" sqref="D3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0</v>
      </c>
      <c r="C1" s="28" t="s">
        <v>39</v>
      </c>
      <c r="D1" s="28" t="s">
        <v>40</v>
      </c>
      <c r="E1" s="27" t="s">
        <v>41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42</v>
      </c>
      <c r="I1" s="13" t="s">
        <v>43</v>
      </c>
      <c r="J1" s="13" t="s">
        <v>44</v>
      </c>
      <c r="K1" s="13" t="s">
        <v>1</v>
      </c>
      <c r="L1" s="13" t="s">
        <v>45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4" t="s">
        <v>10</v>
      </c>
      <c r="S1" s="28" t="s">
        <v>11</v>
      </c>
      <c r="T1" s="14" t="s">
        <v>12</v>
      </c>
      <c r="U1" s="14" t="s">
        <v>13</v>
      </c>
      <c r="V1" s="14" t="s">
        <v>14</v>
      </c>
      <c r="W1" s="14" t="s">
        <v>46</v>
      </c>
      <c r="X1" s="14"/>
      <c r="Y1" s="15" t="s">
        <v>5</v>
      </c>
      <c r="Z1" s="15" t="s">
        <v>6</v>
      </c>
      <c r="AA1" s="15" t="s">
        <v>7</v>
      </c>
      <c r="AB1" s="15" t="s">
        <v>8</v>
      </c>
      <c r="AC1" s="15" t="s">
        <v>9</v>
      </c>
      <c r="AD1" s="15" t="s">
        <v>10</v>
      </c>
      <c r="AE1" s="37" t="s">
        <v>11</v>
      </c>
      <c r="AF1" s="15" t="s">
        <v>12</v>
      </c>
      <c r="AG1" s="15" t="s">
        <v>13</v>
      </c>
      <c r="AH1" s="15" t="s">
        <v>14</v>
      </c>
      <c r="AI1" s="15" t="s">
        <v>47</v>
      </c>
      <c r="AJ1" s="15"/>
      <c r="AK1" s="15" t="s">
        <v>5</v>
      </c>
      <c r="AL1" s="15" t="s">
        <v>6</v>
      </c>
      <c r="AM1" s="15" t="s">
        <v>7</v>
      </c>
      <c r="AN1" s="15" t="s">
        <v>8</v>
      </c>
      <c r="AO1" s="15" t="s">
        <v>9</v>
      </c>
      <c r="AP1" s="15" t="s">
        <v>10</v>
      </c>
      <c r="AQ1" s="37" t="s">
        <v>11</v>
      </c>
      <c r="AR1" s="15" t="s">
        <v>12</v>
      </c>
      <c r="AS1" s="15" t="s">
        <v>13</v>
      </c>
      <c r="AT1" s="15" t="s">
        <v>14</v>
      </c>
      <c r="AU1" s="15" t="s">
        <v>48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10059</v>
      </c>
      <c r="B2" s="28">
        <f ca="1">IF(A2=0,"",_xlfn.NUMBERVALUE(A2))</f>
        <v>10059</v>
      </c>
      <c r="C2" s="28" t="str">
        <f ca="1">IF($A2=0,"",VLOOKUP($B2,Employees!$A:$G,2,FALSE))</f>
        <v>Chiao</v>
      </c>
      <c r="D2" s="28" t="str">
        <f ca="1">IF($A2=0,"",VLOOKUP($B2,Employees!$A:$G,3,FALSE))</f>
        <v>Cheng</v>
      </c>
      <c r="E2" s="26">
        <f ca="1">IF($A2=0,"",VLOOKUP($B2,Employees!$A:$G,5,FALSE))</f>
        <v>35147</v>
      </c>
      <c r="F2" s="13">
        <f ca="1">IF($E2="","",ROUNDDOWN(YEARFRAC($E2, 'Week 1 Roster'!$D$1-1, 1), 0))</f>
        <v>29</v>
      </c>
      <c r="G2" s="13">
        <f ca="1">IF($E2="","",ROUNDDOWN(YEARFRAC($E2, 'Week 1 Roster'!$D$1+14, 1), 0))</f>
        <v>29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Martin Place</v>
      </c>
      <c r="L2" s="13" t="str">
        <f ca="1">IF($A2=0,"",VLOOKUP(K2,Stores!A:B,2,0))</f>
        <v>Winlada</v>
      </c>
      <c r="M2" s="14">
        <f t="shared" ref="M2" ca="1" si="0">Y2+AK2</f>
        <v>75.75</v>
      </c>
      <c r="N2" s="14">
        <f t="shared" ref="N2" ca="1" si="1">Z2+AL2</f>
        <v>0</v>
      </c>
      <c r="O2" s="14">
        <f t="shared" ref="O2" ca="1" si="2">AA2+AM2</f>
        <v>0</v>
      </c>
      <c r="P2" s="14">
        <f t="shared" ref="P2" ca="1" si="3">AB2+AN2</f>
        <v>0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8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75.75</v>
      </c>
      <c r="Y2" s="17">
        <f ca="1">IF($A2=0,0,SUMIF('Week 1 Roster'!$AZ:$AZ,$B2,'Week 1 Roster'!$AE:$AE))</f>
        <v>39.25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4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39.25</v>
      </c>
      <c r="AK2" s="17">
        <f ca="1">IF($A2=0,0,SUMIF('Week 2 Roster'!$AZ:$AZ,$B2,'Week 2 Roster'!$AE:$AE))</f>
        <v>36.5</v>
      </c>
      <c r="AL2" s="17">
        <f ca="1">IF($A2=0,0,SUMIF('Week 2 Roster'!$AZ:$AZ,$B2,'Week 2 Roster'!$AG:$AG))</f>
        <v>0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36.5</v>
      </c>
      <c r="AV2" s="17"/>
      <c r="AW2" s="25">
        <f>'Week 1 Roster'!A2</f>
        <v>10059</v>
      </c>
      <c r="AX2" s="25" t="str">
        <f>'Week 2 Roster'!A2</f>
        <v/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10090</v>
      </c>
      <c r="B3" s="28">
        <f t="shared" ref="B3:B66" ca="1" si="9">IF(A3=0,"",_xlfn.NUMBERVALUE(A3))</f>
        <v>10090</v>
      </c>
      <c r="C3" s="28" t="str">
        <f ca="1">IF($A3=0,"",VLOOKUP($B3,Employees!$A:$G,2,FALSE))</f>
        <v>Hsin-Yi</v>
      </c>
      <c r="D3" s="28" t="str">
        <f ca="1">IF($A3=0,"",VLOOKUP($B3,Employees!$A:$G,3,FALSE))</f>
        <v>CHIANG</v>
      </c>
      <c r="E3" s="26">
        <f ca="1">IF($A3=0,"",VLOOKUP($B3,Employees!$A:$G,5,FALSE))</f>
        <v>33945</v>
      </c>
      <c r="F3" s="13">
        <f ca="1">IF($E3="","",ROUNDDOWN(YEARFRAC($E3, 'Week 1 Roster'!$D$1-1, 1), 0))</f>
        <v>32</v>
      </c>
      <c r="G3" s="13">
        <f ca="1">IF($E3="","",ROUNDDOWN(YEARFRAC($E3, 'Week 1 Roster'!$D$1+14, 1), 0))</f>
        <v>32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Martin Place</v>
      </c>
      <c r="L3" s="13" t="str">
        <f ca="1">IF($A3=0,"",VLOOKUP(K3,Stores!A:B,2,0))</f>
        <v>Winlada</v>
      </c>
      <c r="M3" s="14">
        <f t="shared" ref="M3:M66" ca="1" si="11">Y3+AK3</f>
        <v>9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2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9</v>
      </c>
      <c r="Y3" s="17">
        <f ca="1">IF($A3=0,0,SUMIF('Week 1 Roster'!$AZ:$AZ,$B3,'Week 1 Roster'!$AE:$AE))</f>
        <v>4.5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1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4.5</v>
      </c>
      <c r="AK3" s="17">
        <f ca="1">IF($A3=0,0,SUMIF('Week 2 Roster'!$AZ:$AZ,$B3,'Week 2 Roster'!$AE:$AE))</f>
        <v>4.5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1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4.5</v>
      </c>
      <c r="AV3" s="17"/>
      <c r="AW3" s="25">
        <f>'Week 1 Roster'!A3</f>
        <v>10090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10015</v>
      </c>
      <c r="B4" s="28">
        <f t="shared" ca="1" si="9"/>
        <v>10015</v>
      </c>
      <c r="C4" s="28" t="str">
        <f ca="1">IF($A4=0,"",VLOOKUP($B4,Employees!$A:$G,2,FALSE))</f>
        <v>Haoxi</v>
      </c>
      <c r="D4" s="28" t="str">
        <f ca="1">IF($A4=0,"",VLOOKUP($B4,Employees!$A:$G,3,FALSE))</f>
        <v>Lu</v>
      </c>
      <c r="E4" s="26">
        <f ca="1">IF($A4=0,"",VLOOKUP($B4,Employees!$A:$G,5,FALSE))</f>
        <v>37913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GCM</v>
      </c>
      <c r="K4" s="13" t="str">
        <f ca="1">IF($A4=0,"",IF(ISNA(VLOOKUP(A4,'Week 1 Roster'!A:C,2,0)),VLOOKUP(A4,'Week 2 Roster'!A:C,2,0),VLOOKUP(A4,'Week 1 Roster'!A:C,2,0)))</f>
        <v>Martin Place</v>
      </c>
      <c r="L4" s="13" t="str">
        <f ca="1">IF($A4=0,"",VLOOKUP(K4,Stores!A:B,2,0))</f>
        <v>Winlada</v>
      </c>
      <c r="M4" s="14">
        <f t="shared" ca="1" si="11"/>
        <v>10.000000000000002</v>
      </c>
      <c r="N4" s="14">
        <f t="shared" ca="1" si="12"/>
        <v>0</v>
      </c>
      <c r="O4" s="14">
        <f t="shared" ca="1" si="13"/>
        <v>0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10.000000000000002</v>
      </c>
      <c r="Y4" s="17">
        <f ca="1">IF($A4=0,0,SUMIF('Week 1 Roster'!$AZ:$AZ,$B4,'Week 1 Roster'!$AE:$AE))</f>
        <v>5.0000000000000009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1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5.0000000000000009</v>
      </c>
      <c r="AK4" s="17">
        <f ca="1">IF($A4=0,0,SUMIF('Week 2 Roster'!$AZ:$AZ,$B4,'Week 2 Roster'!$AE:$AE))</f>
        <v>5.0000000000000009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1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5.0000000000000009</v>
      </c>
      <c r="AV4" s="17"/>
      <c r="AW4" s="25">
        <f>'Week 1 Roster'!A4</f>
        <v>10015</v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10388</v>
      </c>
      <c r="B5" s="28">
        <f t="shared" ca="1" si="9"/>
        <v>10388</v>
      </c>
      <c r="C5" s="28" t="str">
        <f ca="1">IF($A5=0,"",VLOOKUP($B5,Employees!$A:$G,2,FALSE))</f>
        <v>Jordan</v>
      </c>
      <c r="D5" s="28" t="str">
        <f ca="1">IF($A5=0,"",VLOOKUP($B5,Employees!$A:$G,3,FALSE))</f>
        <v>Tan</v>
      </c>
      <c r="E5" s="26">
        <f ca="1">IF($A5=0,"",VLOOKUP($B5,Employees!$A:$G,5,FALSE))</f>
        <v>37824</v>
      </c>
      <c r="F5" s="13">
        <f ca="1">IF($E5="","",ROUNDDOWN(YEARFRAC($E5, 'Week 1 Roster'!$D$1-1, 1), 0))</f>
        <v>22</v>
      </c>
      <c r="G5" s="13">
        <f ca="1">IF($E5="","",ROUNDDOWN(YEARFRAC($E5, 'Week 1 Roster'!$D$1+14, 1), 0))</f>
        <v>22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Martin Place</v>
      </c>
      <c r="L5" s="13" t="str">
        <f ca="1">IF($A5=0,"",VLOOKUP(K5,Stores!A:B,2,0))</f>
        <v>Winlada</v>
      </c>
      <c r="M5" s="14">
        <f t="shared" ca="1" si="11"/>
        <v>12.5</v>
      </c>
      <c r="N5" s="14">
        <f t="shared" ca="1" si="12"/>
        <v>0</v>
      </c>
      <c r="O5" s="14">
        <f t="shared" ca="1" si="13"/>
        <v>0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2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12.5</v>
      </c>
      <c r="Y5" s="17">
        <f ca="1">IF($A5=0,0,SUMIF('Week 1 Roster'!$AZ:$AZ,$B5,'Week 1 Roster'!$AE:$AE))</f>
        <v>6.5000000000000009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1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6.5000000000000009</v>
      </c>
      <c r="AK5" s="17">
        <f ca="1">IF($A5=0,0,SUMIF('Week 2 Roster'!$AZ:$AZ,$B5,'Week 2 Roster'!$AE:$AE))</f>
        <v>6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1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6</v>
      </c>
      <c r="AV5" s="17"/>
      <c r="AW5" s="25">
        <f>'Week 1 Roster'!A5</f>
        <v>10388</v>
      </c>
      <c r="AX5" s="25" t="str">
        <f>'Week 2 Roster'!A5</f>
        <v/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10375</v>
      </c>
      <c r="B6" s="28">
        <f t="shared" ca="1" si="9"/>
        <v>10375</v>
      </c>
      <c r="C6" s="28" t="str">
        <f ca="1">IF($A6=0,"",VLOOKUP($B6,Employees!$A:$G,2,FALSE))</f>
        <v>Linh Nga</v>
      </c>
      <c r="D6" s="28" t="str">
        <f ca="1">IF($A6=0,"",VLOOKUP($B6,Employees!$A:$G,3,FALSE))</f>
        <v>Do</v>
      </c>
      <c r="E6" s="26">
        <f ca="1">IF($A6=0,"",VLOOKUP($B6,Employees!$A:$G,5,FALSE))</f>
        <v>37310</v>
      </c>
      <c r="F6" s="13">
        <f ca="1">IF($E6="","",ROUNDDOWN(YEARFRAC($E6, 'Week 1 Roster'!$D$1-1, 1), 0))</f>
        <v>23</v>
      </c>
      <c r="G6" s="13">
        <f ca="1">IF($E6="","",ROUNDDOWN(YEARFRAC($E6, 'Week 1 Roster'!$D$1+14, 1), 0))</f>
        <v>23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SS</v>
      </c>
      <c r="K6" s="13" t="str">
        <f ca="1">IF($A6=0,"",IF(ISNA(VLOOKUP(A6,'Week 1 Roster'!A:C,2,0)),VLOOKUP(A6,'Week 2 Roster'!A:C,2,0),VLOOKUP(A6,'Week 1 Roster'!A:C,2,0)))</f>
        <v>Martin Place</v>
      </c>
      <c r="L6" s="13" t="str">
        <f ca="1">IF($A6=0,"",VLOOKUP(K6,Stores!A:B,2,0))</f>
        <v>Winlada</v>
      </c>
      <c r="M6" s="14">
        <f t="shared" ca="1" si="11"/>
        <v>5.4999999999999991</v>
      </c>
      <c r="N6" s="14">
        <f t="shared" ca="1" si="12"/>
        <v>0</v>
      </c>
      <c r="O6" s="14">
        <f t="shared" ca="1" si="13"/>
        <v>0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1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5.4999999999999991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5.4999999999999991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0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1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5.4999999999999991</v>
      </c>
      <c r="AV6" s="17"/>
      <c r="AW6" s="25" t="str">
        <f>'Week 1 Roster'!A6</f>
        <v/>
      </c>
      <c r="AX6" s="25" t="str">
        <f>'Week 2 Roster'!A6</f>
        <v/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0</v>
      </c>
      <c r="B7" s="28" t="str">
        <f t="shared" ca="1" si="9"/>
        <v/>
      </c>
      <c r="C7" s="28" t="str">
        <f ca="1">IF($A7=0,"",VLOOKUP($B7,Employees!$A:$G,2,FALSE))</f>
        <v/>
      </c>
      <c r="D7" s="28" t="str">
        <f ca="1">IF($A7=0,"",VLOOKUP($B7,Employees!$A:$G,3,FALSE))</f>
        <v/>
      </c>
      <c r="E7" s="26" t="str">
        <f ca="1">IF($A7=0,"",VLOOKUP($B7,Employees!$A:$G,5,FALSE))</f>
        <v/>
      </c>
      <c r="F7" s="13" t="str">
        <f ca="1">IF($E7="","",ROUNDDOWN(YEARFRAC($E7, 'Week 1 Roster'!$D$1-1, 1), 0))</f>
        <v/>
      </c>
      <c r="G7" s="13" t="str">
        <f ca="1">IF($E7="","",ROUNDDOWN(YEARFRAC($E7, 'Week 1 Roster'!$D$1+14, 1), 0))</f>
        <v/>
      </c>
      <c r="H7" s="13" t="str">
        <f t="shared" ca="1" si="10"/>
        <v/>
      </c>
      <c r="I7" s="13" t="str">
        <f ca="1">IF($A7=0,"",VLOOKUP($B7,Employees!$A:$G,6,FALSE))</f>
        <v/>
      </c>
      <c r="J7" s="13" t="str">
        <f ca="1">IF($A7=0,"",VLOOKUP($B7,Employees!$A:$G,7,FALSE))</f>
        <v/>
      </c>
      <c r="K7" s="13" t="str">
        <f ca="1">IF($A7=0,"",IF(ISNA(VLOOKUP(A7,'Week 1 Roster'!A:C,2,0)),VLOOKUP(A7,'Week 2 Roster'!A:C,2,0),VLOOKUP(A7,'Week 1 Roster'!A:C,2,0)))</f>
        <v/>
      </c>
      <c r="L7" s="13" t="str">
        <f ca="1">IF($A7=0,"",VLOOKUP(K7,Stores!A:B,2,0))</f>
        <v/>
      </c>
      <c r="M7" s="14">
        <f t="shared" ca="1" si="11"/>
        <v>0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0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0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0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0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 t="str">
        <f>'Week 1 Roster'!A7</f>
        <v/>
      </c>
      <c r="AX7" s="25" t="str">
        <f>'Week 2 Roster'!A7</f>
        <v/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0</v>
      </c>
      <c r="B8" s="28" t="str">
        <f t="shared" ca="1" si="9"/>
        <v/>
      </c>
      <c r="C8" s="28" t="str">
        <f ca="1">IF($A8=0,"",VLOOKUP($B8,Employees!$A:$G,2,FALSE))</f>
        <v/>
      </c>
      <c r="D8" s="28" t="str">
        <f ca="1">IF($A8=0,"",VLOOKUP($B8,Employees!$A:$G,3,FALSE))</f>
        <v/>
      </c>
      <c r="E8" s="26" t="str">
        <f ca="1">IF($A8=0,"",VLOOKUP($B8,Employees!$A:$G,5,FALSE))</f>
        <v/>
      </c>
      <c r="F8" s="13" t="str">
        <f ca="1">IF($E8="","",ROUNDDOWN(YEARFRAC($E8, 'Week 1 Roster'!$D$1-1, 1), 0))</f>
        <v/>
      </c>
      <c r="G8" s="13" t="str">
        <f ca="1">IF($E8="","",ROUNDDOWN(YEARFRAC($E8, 'Week 1 Roster'!$D$1+14, 1), 0))</f>
        <v/>
      </c>
      <c r="H8" s="13" t="str">
        <f t="shared" ca="1" si="10"/>
        <v/>
      </c>
      <c r="I8" s="13" t="str">
        <f ca="1">IF($A8=0,"",VLOOKUP($B8,Employees!$A:$G,6,FALSE))</f>
        <v/>
      </c>
      <c r="J8" s="13" t="str">
        <f ca="1">IF($A8=0,"",VLOOKUP($B8,Employees!$A:$G,7,FALSE))</f>
        <v/>
      </c>
      <c r="K8" s="13" t="str">
        <f ca="1">IF($A8=0,"",IF(ISNA(VLOOKUP(A8,'Week 1 Roster'!A:C,2,0)),VLOOKUP(A8,'Week 2 Roster'!A:C,2,0),VLOOKUP(A8,'Week 1 Roster'!A:C,2,0)))</f>
        <v/>
      </c>
      <c r="L8" s="13" t="str">
        <f ca="1">IF($A8=0,"",VLOOKUP(K8,Stores!A:B,2,0))</f>
        <v/>
      </c>
      <c r="M8" s="14">
        <f t="shared" ca="1" si="11"/>
        <v>0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0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0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>
        <f>'Week 2 Roster'!A9</f>
        <v>10059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>
        <f>'Week 2 Roster'!A10</f>
        <v>10090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>
        <f>'Week 2 Roster'!A11</f>
        <v>10015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>
        <f>'Week 2 Roster'!A12</f>
        <v>10388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>
        <f>'Week 2 Roster'!A13</f>
        <v>10375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abSelected="1" topLeftCell="A69" zoomScale="186" zoomScaleNormal="186" workbookViewId="0">
      <selection activeCell="F88" sqref="F88"/>
    </sheetView>
  </sheetViews>
  <sheetFormatPr baseColWidth="10" defaultColWidth="10.83203125" defaultRowHeight="13"/>
  <cols>
    <col min="1" max="1" width="11.5" customWidth="1"/>
    <col min="2" max="2" width="17.1640625" bestFit="1" customWidth="1"/>
    <col min="3" max="3" width="16.1640625" customWidth="1"/>
    <col min="4" max="4" width="22.83203125" customWidth="1"/>
    <col min="5" max="5" width="11.5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0</v>
      </c>
      <c r="B1" t="s">
        <v>39</v>
      </c>
      <c r="C1" t="s">
        <v>40</v>
      </c>
      <c r="D1" t="s">
        <v>2</v>
      </c>
      <c r="E1" t="s">
        <v>41</v>
      </c>
      <c r="F1" s="31" t="s">
        <v>43</v>
      </c>
      <c r="G1" t="s">
        <v>49</v>
      </c>
      <c r="H1" s="2" t="s">
        <v>50</v>
      </c>
      <c r="I1" s="12" t="str">
        <f>A1</f>
        <v>Employee ID</v>
      </c>
    </row>
    <row r="2" spans="1:9">
      <c r="A2">
        <v>10001</v>
      </c>
      <c r="B2" s="65" t="s">
        <v>51</v>
      </c>
      <c r="C2" s="65" t="s">
        <v>52</v>
      </c>
      <c r="D2" s="65" t="s">
        <v>53</v>
      </c>
      <c r="E2" s="66">
        <v>33178</v>
      </c>
      <c r="F2" s="65">
        <v>76</v>
      </c>
      <c r="G2" s="65" t="s">
        <v>54</v>
      </c>
      <c r="H2" s="65" t="s">
        <v>55</v>
      </c>
      <c r="I2" s="12">
        <f t="shared" ref="I2:I65" si="0">A2</f>
        <v>10001</v>
      </c>
    </row>
    <row r="3" spans="1:9">
      <c r="A3">
        <v>10002</v>
      </c>
      <c r="B3" s="65" t="s">
        <v>56</v>
      </c>
      <c r="C3" s="65" t="s">
        <v>57</v>
      </c>
      <c r="D3" s="65" t="s">
        <v>58</v>
      </c>
      <c r="E3" s="66">
        <v>34854</v>
      </c>
      <c r="F3" s="65">
        <v>76</v>
      </c>
      <c r="G3" s="65" t="s">
        <v>54</v>
      </c>
      <c r="H3" s="65"/>
      <c r="I3" s="12">
        <f t="shared" si="0"/>
        <v>10002</v>
      </c>
    </row>
    <row r="4" spans="1:9">
      <c r="A4">
        <v>10003</v>
      </c>
      <c r="B4" s="65" t="s">
        <v>59</v>
      </c>
      <c r="C4" s="65" t="s">
        <v>60</v>
      </c>
      <c r="D4" s="65" t="s">
        <v>61</v>
      </c>
      <c r="E4" s="66">
        <v>36881</v>
      </c>
      <c r="F4" s="65">
        <v>48</v>
      </c>
      <c r="G4" s="65" t="s">
        <v>54</v>
      </c>
      <c r="H4" s="65"/>
      <c r="I4" s="12">
        <f t="shared" si="0"/>
        <v>10003</v>
      </c>
    </row>
    <row r="5" spans="1:9">
      <c r="A5">
        <v>10004</v>
      </c>
      <c r="B5" s="65" t="s">
        <v>62</v>
      </c>
      <c r="C5" s="65" t="s">
        <v>63</v>
      </c>
      <c r="D5" s="65" t="s">
        <v>64</v>
      </c>
      <c r="E5" s="66">
        <v>37038</v>
      </c>
      <c r="F5" s="65">
        <v>48</v>
      </c>
      <c r="G5" s="65" t="s">
        <v>54</v>
      </c>
      <c r="H5" s="65"/>
      <c r="I5" s="12">
        <f t="shared" si="0"/>
        <v>10004</v>
      </c>
    </row>
    <row r="6" spans="1:9">
      <c r="A6">
        <v>10005</v>
      </c>
      <c r="B6" s="65" t="s">
        <v>65</v>
      </c>
      <c r="C6" s="65" t="s">
        <v>66</v>
      </c>
      <c r="D6" s="65" t="s">
        <v>67</v>
      </c>
      <c r="E6" s="66">
        <v>32417</v>
      </c>
      <c r="F6" s="65">
        <v>76</v>
      </c>
      <c r="G6" s="65" t="s">
        <v>54</v>
      </c>
      <c r="H6" s="65"/>
      <c r="I6" s="12">
        <f t="shared" si="0"/>
        <v>10005</v>
      </c>
    </row>
    <row r="7" spans="1:9">
      <c r="A7">
        <v>10006</v>
      </c>
      <c r="B7" s="65" t="s">
        <v>68</v>
      </c>
      <c r="C7" s="65" t="s">
        <v>69</v>
      </c>
      <c r="D7" s="65" t="s">
        <v>70</v>
      </c>
      <c r="E7" s="66">
        <v>32528</v>
      </c>
      <c r="F7" s="65">
        <v>76</v>
      </c>
      <c r="G7" s="65" t="s">
        <v>71</v>
      </c>
      <c r="H7" s="65"/>
      <c r="I7" s="12">
        <f t="shared" si="0"/>
        <v>10006</v>
      </c>
    </row>
    <row r="8" spans="1:9">
      <c r="A8">
        <v>10007</v>
      </c>
      <c r="B8" s="65" t="s">
        <v>72</v>
      </c>
      <c r="C8" s="65" t="s">
        <v>73</v>
      </c>
      <c r="D8" s="65" t="s">
        <v>74</v>
      </c>
      <c r="E8" s="66">
        <v>36422</v>
      </c>
      <c r="F8" s="65">
        <v>76</v>
      </c>
      <c r="G8" s="65" t="s">
        <v>54</v>
      </c>
      <c r="H8" s="65"/>
      <c r="I8" s="12">
        <f t="shared" si="0"/>
        <v>10007</v>
      </c>
    </row>
    <row r="9" spans="1:9">
      <c r="A9">
        <v>10008</v>
      </c>
      <c r="B9" s="65" t="s">
        <v>75</v>
      </c>
      <c r="C9" s="65" t="s">
        <v>76</v>
      </c>
      <c r="D9" s="65" t="s">
        <v>77</v>
      </c>
      <c r="E9" s="66">
        <v>36271</v>
      </c>
      <c r="F9" s="65">
        <v>76</v>
      </c>
      <c r="G9" s="65" t="s">
        <v>54</v>
      </c>
      <c r="H9" s="65"/>
      <c r="I9" s="12">
        <f t="shared" si="0"/>
        <v>10008</v>
      </c>
    </row>
    <row r="10" spans="1:9">
      <c r="A10">
        <v>10009</v>
      </c>
      <c r="B10" s="65" t="s">
        <v>78</v>
      </c>
      <c r="C10" s="65" t="s">
        <v>79</v>
      </c>
      <c r="D10" s="65" t="s">
        <v>80</v>
      </c>
      <c r="E10" s="66">
        <v>38294</v>
      </c>
      <c r="F10" s="65">
        <v>76</v>
      </c>
      <c r="G10" s="65" t="s">
        <v>54</v>
      </c>
      <c r="H10" s="65"/>
      <c r="I10" s="12">
        <f t="shared" si="0"/>
        <v>10009</v>
      </c>
    </row>
    <row r="11" spans="1:9">
      <c r="A11">
        <v>10010</v>
      </c>
      <c r="B11" s="65" t="s">
        <v>81</v>
      </c>
      <c r="C11" s="65" t="s">
        <v>82</v>
      </c>
      <c r="D11" s="65" t="s">
        <v>83</v>
      </c>
      <c r="E11" s="66">
        <v>36628</v>
      </c>
      <c r="F11" s="65">
        <v>76</v>
      </c>
      <c r="G11" s="65" t="s">
        <v>54</v>
      </c>
      <c r="H11" s="65"/>
      <c r="I11" s="12">
        <f t="shared" si="0"/>
        <v>10010</v>
      </c>
    </row>
    <row r="12" spans="1:9">
      <c r="A12">
        <v>10011</v>
      </c>
      <c r="B12" s="65" t="s">
        <v>84</v>
      </c>
      <c r="C12" s="65" t="s">
        <v>85</v>
      </c>
      <c r="D12" s="65" t="s">
        <v>86</v>
      </c>
      <c r="E12" s="66">
        <v>34222</v>
      </c>
      <c r="F12" s="65">
        <v>76</v>
      </c>
      <c r="G12" s="65" t="s">
        <v>54</v>
      </c>
      <c r="H12" s="65"/>
      <c r="I12" s="12">
        <f t="shared" si="0"/>
        <v>10011</v>
      </c>
    </row>
    <row r="13" spans="1:9">
      <c r="A13">
        <v>10012</v>
      </c>
      <c r="B13" s="65" t="s">
        <v>87</v>
      </c>
      <c r="C13" s="65" t="s">
        <v>88</v>
      </c>
      <c r="D13" s="65" t="s">
        <v>89</v>
      </c>
      <c r="E13" s="66">
        <v>35102</v>
      </c>
      <c r="F13" s="65">
        <v>76</v>
      </c>
      <c r="G13" s="65" t="s">
        <v>54</v>
      </c>
      <c r="H13" s="65" t="s">
        <v>55</v>
      </c>
      <c r="I13" s="12">
        <f t="shared" si="0"/>
        <v>10012</v>
      </c>
    </row>
    <row r="14" spans="1:9">
      <c r="A14">
        <v>10013</v>
      </c>
      <c r="B14" s="65" t="s">
        <v>90</v>
      </c>
      <c r="C14" s="65" t="s">
        <v>73</v>
      </c>
      <c r="D14" s="65" t="s">
        <v>91</v>
      </c>
      <c r="E14" s="66">
        <v>36798</v>
      </c>
      <c r="F14" s="65">
        <v>48</v>
      </c>
      <c r="G14" s="65" t="s">
        <v>54</v>
      </c>
      <c r="H14" s="65"/>
      <c r="I14" s="12">
        <f t="shared" si="0"/>
        <v>10013</v>
      </c>
    </row>
    <row r="15" spans="1:9">
      <c r="A15">
        <v>10014</v>
      </c>
      <c r="B15" s="65" t="s">
        <v>92</v>
      </c>
      <c r="C15" s="65" t="s">
        <v>93</v>
      </c>
      <c r="D15" s="65" t="s">
        <v>94</v>
      </c>
      <c r="E15" s="66">
        <v>36559</v>
      </c>
      <c r="F15" s="65">
        <v>76</v>
      </c>
      <c r="G15" s="65" t="s">
        <v>54</v>
      </c>
      <c r="H15" s="65"/>
      <c r="I15" s="12">
        <f t="shared" si="0"/>
        <v>10014</v>
      </c>
    </row>
    <row r="16" spans="1:9">
      <c r="A16">
        <v>10015</v>
      </c>
      <c r="B16" s="65" t="s">
        <v>95</v>
      </c>
      <c r="C16" s="65" t="s">
        <v>96</v>
      </c>
      <c r="D16" s="65" t="s">
        <v>35</v>
      </c>
      <c r="E16" s="66">
        <v>37913</v>
      </c>
      <c r="F16" s="65">
        <v>76</v>
      </c>
      <c r="G16" s="65" t="s">
        <v>54</v>
      </c>
      <c r="H16" s="65" t="s">
        <v>55</v>
      </c>
      <c r="I16" s="12">
        <f t="shared" si="0"/>
        <v>10015</v>
      </c>
    </row>
    <row r="17" spans="1:9">
      <c r="A17">
        <v>10016</v>
      </c>
      <c r="B17" s="65" t="s">
        <v>97</v>
      </c>
      <c r="C17" s="65" t="s">
        <v>98</v>
      </c>
      <c r="D17" s="65" t="s">
        <v>99</v>
      </c>
      <c r="E17" s="66">
        <v>38227</v>
      </c>
      <c r="F17" s="65">
        <v>76</v>
      </c>
      <c r="G17" s="65" t="s">
        <v>54</v>
      </c>
      <c r="H17" s="65"/>
      <c r="I17" s="12">
        <f t="shared" si="0"/>
        <v>10016</v>
      </c>
    </row>
    <row r="18" spans="1:9">
      <c r="A18">
        <v>10017</v>
      </c>
      <c r="B18" s="65" t="s">
        <v>100</v>
      </c>
      <c r="C18" s="65" t="s">
        <v>101</v>
      </c>
      <c r="D18" s="65" t="s">
        <v>102</v>
      </c>
      <c r="E18" s="66">
        <v>37993</v>
      </c>
      <c r="F18" s="65">
        <v>76</v>
      </c>
      <c r="G18" s="65" t="s">
        <v>54</v>
      </c>
      <c r="H18" s="65"/>
      <c r="I18" s="12">
        <f t="shared" si="0"/>
        <v>10017</v>
      </c>
    </row>
    <row r="19" spans="1:9">
      <c r="A19">
        <v>10018</v>
      </c>
      <c r="B19" s="65" t="s">
        <v>103</v>
      </c>
      <c r="C19" s="65" t="s">
        <v>104</v>
      </c>
      <c r="D19" s="65" t="s">
        <v>105</v>
      </c>
      <c r="E19" s="66">
        <v>35489</v>
      </c>
      <c r="F19" s="65">
        <v>76</v>
      </c>
      <c r="G19" s="65" t="s">
        <v>54</v>
      </c>
      <c r="H19" s="65"/>
      <c r="I19" s="12">
        <f t="shared" si="0"/>
        <v>10018</v>
      </c>
    </row>
    <row r="20" spans="1:9">
      <c r="A20">
        <v>10019</v>
      </c>
      <c r="B20" s="65" t="s">
        <v>106</v>
      </c>
      <c r="C20" s="65" t="s">
        <v>107</v>
      </c>
      <c r="D20" s="65" t="s">
        <v>108</v>
      </c>
      <c r="E20" s="66">
        <v>35403</v>
      </c>
      <c r="F20" s="65">
        <v>76</v>
      </c>
      <c r="G20" s="65" t="s">
        <v>54</v>
      </c>
      <c r="H20" s="65"/>
      <c r="I20" s="12">
        <f t="shared" si="0"/>
        <v>10019</v>
      </c>
    </row>
    <row r="21" spans="1:9">
      <c r="A21">
        <v>10020</v>
      </c>
      <c r="B21" s="65" t="s">
        <v>109</v>
      </c>
      <c r="C21" s="65" t="s">
        <v>110</v>
      </c>
      <c r="D21" s="65" t="s">
        <v>111</v>
      </c>
      <c r="E21" s="66">
        <v>36886</v>
      </c>
      <c r="F21" s="65">
        <v>76</v>
      </c>
      <c r="G21" s="65" t="s">
        <v>54</v>
      </c>
      <c r="H21" s="65"/>
      <c r="I21" s="12">
        <f t="shared" si="0"/>
        <v>10020</v>
      </c>
    </row>
    <row r="22" spans="1:9">
      <c r="A22">
        <v>10021</v>
      </c>
      <c r="B22" s="65" t="s">
        <v>112</v>
      </c>
      <c r="C22" s="65" t="s">
        <v>88</v>
      </c>
      <c r="D22" s="65" t="s">
        <v>113</v>
      </c>
      <c r="E22" s="66">
        <v>35725</v>
      </c>
      <c r="F22" s="65">
        <v>76</v>
      </c>
      <c r="G22" s="65" t="s">
        <v>54</v>
      </c>
      <c r="H22" s="65"/>
      <c r="I22" s="12">
        <f t="shared" si="0"/>
        <v>10021</v>
      </c>
    </row>
    <row r="23" spans="1:9">
      <c r="A23">
        <v>10022</v>
      </c>
      <c r="B23" s="65" t="s">
        <v>114</v>
      </c>
      <c r="C23" s="65" t="s">
        <v>115</v>
      </c>
      <c r="D23" s="65" t="s">
        <v>116</v>
      </c>
      <c r="E23" s="66">
        <v>35862</v>
      </c>
      <c r="F23" s="65">
        <v>76</v>
      </c>
      <c r="G23" s="65" t="s">
        <v>54</v>
      </c>
      <c r="H23" s="65" t="s">
        <v>55</v>
      </c>
      <c r="I23" s="12">
        <f t="shared" si="0"/>
        <v>10022</v>
      </c>
    </row>
    <row r="24" spans="1:9">
      <c r="A24">
        <v>10023</v>
      </c>
      <c r="B24" s="65" t="s">
        <v>117</v>
      </c>
      <c r="C24" s="65" t="s">
        <v>118</v>
      </c>
      <c r="D24" s="65"/>
      <c r="E24" s="66">
        <v>34717</v>
      </c>
      <c r="F24" s="65">
        <v>76</v>
      </c>
      <c r="G24" s="65" t="s">
        <v>54</v>
      </c>
      <c r="H24" s="65"/>
      <c r="I24" s="12">
        <f t="shared" si="0"/>
        <v>10023</v>
      </c>
    </row>
    <row r="25" spans="1:9">
      <c r="A25">
        <v>10024</v>
      </c>
      <c r="B25" s="65" t="s">
        <v>119</v>
      </c>
      <c r="C25" s="65" t="s">
        <v>120</v>
      </c>
      <c r="D25" s="65" t="s">
        <v>121</v>
      </c>
      <c r="E25" s="66">
        <v>35194</v>
      </c>
      <c r="F25" s="65">
        <v>76</v>
      </c>
      <c r="G25" s="65" t="s">
        <v>54</v>
      </c>
      <c r="H25" s="65"/>
      <c r="I25" s="12">
        <f t="shared" si="0"/>
        <v>10024</v>
      </c>
    </row>
    <row r="26" spans="1:9">
      <c r="A26">
        <v>10025</v>
      </c>
      <c r="B26" s="65" t="s">
        <v>122</v>
      </c>
      <c r="C26" s="65" t="s">
        <v>123</v>
      </c>
      <c r="D26" s="65" t="s">
        <v>124</v>
      </c>
      <c r="E26" s="66">
        <v>37388</v>
      </c>
      <c r="F26" s="65">
        <v>48</v>
      </c>
      <c r="G26" s="65" t="s">
        <v>54</v>
      </c>
      <c r="H26" s="65"/>
      <c r="I26" s="12">
        <f t="shared" si="0"/>
        <v>10025</v>
      </c>
    </row>
    <row r="27" spans="1:9">
      <c r="A27">
        <v>10026</v>
      </c>
      <c r="B27" s="65" t="s">
        <v>125</v>
      </c>
      <c r="C27" s="65" t="s">
        <v>126</v>
      </c>
      <c r="D27" s="65" t="s">
        <v>127</v>
      </c>
      <c r="E27" s="66">
        <v>36209</v>
      </c>
      <c r="F27" s="65">
        <v>76</v>
      </c>
      <c r="G27" s="65" t="s">
        <v>54</v>
      </c>
      <c r="H27" s="65"/>
      <c r="I27" s="12">
        <f t="shared" si="0"/>
        <v>10026</v>
      </c>
    </row>
    <row r="28" spans="1:9">
      <c r="A28">
        <v>10027</v>
      </c>
      <c r="B28" s="65" t="s">
        <v>128</v>
      </c>
      <c r="C28" s="65" t="s">
        <v>60</v>
      </c>
      <c r="D28" s="65" t="s">
        <v>129</v>
      </c>
      <c r="E28" s="66">
        <v>37716</v>
      </c>
      <c r="F28" s="65">
        <v>76</v>
      </c>
      <c r="G28" s="65" t="s">
        <v>54</v>
      </c>
      <c r="H28" s="65"/>
      <c r="I28" s="12">
        <f t="shared" si="0"/>
        <v>10027</v>
      </c>
    </row>
    <row r="29" spans="1:9">
      <c r="A29">
        <v>10028</v>
      </c>
      <c r="B29" s="65" t="s">
        <v>130</v>
      </c>
      <c r="C29" s="65" t="s">
        <v>131</v>
      </c>
      <c r="D29" s="65" t="s">
        <v>132</v>
      </c>
      <c r="E29" s="66">
        <v>36036</v>
      </c>
      <c r="F29" s="65">
        <v>4880</v>
      </c>
      <c r="G29" s="65" t="s">
        <v>133</v>
      </c>
      <c r="H29" s="65"/>
      <c r="I29" s="12">
        <f t="shared" si="0"/>
        <v>10028</v>
      </c>
    </row>
    <row r="30" spans="1:9">
      <c r="A30">
        <v>10029</v>
      </c>
      <c r="B30" s="65" t="s">
        <v>134</v>
      </c>
      <c r="C30" s="65" t="s">
        <v>135</v>
      </c>
      <c r="D30" s="65" t="s">
        <v>136</v>
      </c>
      <c r="E30" s="66">
        <v>36819</v>
      </c>
      <c r="F30" s="65">
        <v>76</v>
      </c>
      <c r="G30" s="65" t="s">
        <v>54</v>
      </c>
      <c r="H30" s="65"/>
      <c r="I30" s="12">
        <f t="shared" si="0"/>
        <v>10029</v>
      </c>
    </row>
    <row r="31" spans="1:9">
      <c r="A31">
        <v>10030</v>
      </c>
      <c r="B31" s="65" t="s">
        <v>137</v>
      </c>
      <c r="C31" s="65" t="s">
        <v>138</v>
      </c>
      <c r="D31" s="65" t="s">
        <v>139</v>
      </c>
      <c r="E31" s="66">
        <v>35798</v>
      </c>
      <c r="F31" s="65">
        <v>48</v>
      </c>
      <c r="G31" s="65" t="s">
        <v>54</v>
      </c>
      <c r="H31" s="65"/>
      <c r="I31" s="12">
        <f t="shared" si="0"/>
        <v>10030</v>
      </c>
    </row>
    <row r="32" spans="1:9">
      <c r="A32">
        <v>10031</v>
      </c>
      <c r="B32" s="65" t="s">
        <v>140</v>
      </c>
      <c r="C32" s="65" t="s">
        <v>141</v>
      </c>
      <c r="D32" s="65" t="s">
        <v>142</v>
      </c>
      <c r="E32" s="66">
        <v>35679</v>
      </c>
      <c r="F32" s="65">
        <v>48</v>
      </c>
      <c r="G32" s="65" t="s">
        <v>54</v>
      </c>
      <c r="H32" s="65"/>
      <c r="I32" s="12">
        <f t="shared" si="0"/>
        <v>10031</v>
      </c>
    </row>
    <row r="33" spans="1:9">
      <c r="A33">
        <v>10032</v>
      </c>
      <c r="B33" s="65" t="s">
        <v>143</v>
      </c>
      <c r="C33" s="65" t="s">
        <v>144</v>
      </c>
      <c r="D33" s="65" t="s">
        <v>145</v>
      </c>
      <c r="E33" s="66">
        <v>36733</v>
      </c>
      <c r="F33" s="65">
        <v>76</v>
      </c>
      <c r="G33" s="65" t="s">
        <v>54</v>
      </c>
      <c r="H33" s="65"/>
      <c r="I33" s="12">
        <f t="shared" si="0"/>
        <v>10032</v>
      </c>
    </row>
    <row r="34" spans="1:9">
      <c r="A34">
        <v>10033</v>
      </c>
      <c r="B34" s="65" t="s">
        <v>146</v>
      </c>
      <c r="C34" s="65" t="s">
        <v>147</v>
      </c>
      <c r="D34" s="65" t="s">
        <v>148</v>
      </c>
      <c r="E34" s="66">
        <v>36142</v>
      </c>
      <c r="F34" s="65">
        <v>76</v>
      </c>
      <c r="G34" s="65" t="s">
        <v>54</v>
      </c>
      <c r="H34" s="65"/>
      <c r="I34" s="12">
        <f t="shared" si="0"/>
        <v>10033</v>
      </c>
    </row>
    <row r="35" spans="1:9">
      <c r="A35">
        <v>10034</v>
      </c>
      <c r="B35" s="65" t="s">
        <v>149</v>
      </c>
      <c r="C35" s="65" t="s">
        <v>126</v>
      </c>
      <c r="D35" s="65" t="s">
        <v>150</v>
      </c>
      <c r="E35" s="66">
        <v>35108</v>
      </c>
      <c r="F35" s="65">
        <v>76</v>
      </c>
      <c r="G35" s="65" t="s">
        <v>54</v>
      </c>
      <c r="H35" s="65"/>
      <c r="I35" s="12">
        <f t="shared" si="0"/>
        <v>10034</v>
      </c>
    </row>
    <row r="36" spans="1:9">
      <c r="A36">
        <v>10035</v>
      </c>
      <c r="B36" s="65" t="s">
        <v>151</v>
      </c>
      <c r="C36" s="65" t="s">
        <v>115</v>
      </c>
      <c r="D36" s="65" t="s">
        <v>152</v>
      </c>
      <c r="E36" s="66">
        <v>35436</v>
      </c>
      <c r="F36" s="65">
        <v>48</v>
      </c>
      <c r="G36" s="65" t="s">
        <v>54</v>
      </c>
      <c r="H36" s="65"/>
      <c r="I36" s="12">
        <f t="shared" si="0"/>
        <v>10035</v>
      </c>
    </row>
    <row r="37" spans="1:9">
      <c r="A37">
        <v>10036</v>
      </c>
      <c r="B37" s="65" t="s">
        <v>153</v>
      </c>
      <c r="C37" s="65" t="s">
        <v>154</v>
      </c>
      <c r="D37" s="65" t="s">
        <v>155</v>
      </c>
      <c r="E37" s="66">
        <v>37272</v>
      </c>
      <c r="F37" s="65">
        <v>76</v>
      </c>
      <c r="G37" s="65" t="s">
        <v>54</v>
      </c>
      <c r="H37" s="65"/>
      <c r="I37" s="12">
        <f t="shared" si="0"/>
        <v>10036</v>
      </c>
    </row>
    <row r="38" spans="1:9">
      <c r="A38">
        <v>10037</v>
      </c>
      <c r="B38" s="65" t="s">
        <v>156</v>
      </c>
      <c r="C38" s="65" t="s">
        <v>157</v>
      </c>
      <c r="D38" s="65" t="s">
        <v>158</v>
      </c>
      <c r="E38" s="66">
        <v>33792</v>
      </c>
      <c r="F38" s="65">
        <v>96</v>
      </c>
      <c r="G38" s="65" t="s">
        <v>54</v>
      </c>
      <c r="H38" s="65"/>
      <c r="I38" s="12">
        <f t="shared" si="0"/>
        <v>10037</v>
      </c>
    </row>
    <row r="39" spans="1:9">
      <c r="A39">
        <v>10038</v>
      </c>
      <c r="B39" s="65" t="s">
        <v>159</v>
      </c>
      <c r="C39" s="65" t="s">
        <v>160</v>
      </c>
      <c r="D39" s="67" t="s">
        <v>161</v>
      </c>
      <c r="E39" s="66">
        <v>37403</v>
      </c>
      <c r="F39" s="65">
        <v>76</v>
      </c>
      <c r="G39" s="65" t="s">
        <v>54</v>
      </c>
      <c r="H39" s="65"/>
      <c r="I39" s="12">
        <f t="shared" si="0"/>
        <v>10038</v>
      </c>
    </row>
    <row r="40" spans="1:9">
      <c r="A40">
        <v>10039</v>
      </c>
      <c r="B40" s="65" t="s">
        <v>162</v>
      </c>
      <c r="C40" s="65" t="s">
        <v>88</v>
      </c>
      <c r="D40" s="65" t="s">
        <v>163</v>
      </c>
      <c r="E40" s="66">
        <v>34280</v>
      </c>
      <c r="F40" s="65">
        <v>76</v>
      </c>
      <c r="G40" s="65" t="s">
        <v>54</v>
      </c>
      <c r="H40" s="65"/>
      <c r="I40" s="12">
        <f t="shared" si="0"/>
        <v>10039</v>
      </c>
    </row>
    <row r="41" spans="1:9">
      <c r="A41">
        <v>10040</v>
      </c>
      <c r="B41" s="65" t="s">
        <v>164</v>
      </c>
      <c r="C41" s="65" t="s">
        <v>165</v>
      </c>
      <c r="D41" s="65" t="s">
        <v>166</v>
      </c>
      <c r="E41" s="66">
        <v>37068</v>
      </c>
      <c r="F41" s="67">
        <v>76</v>
      </c>
      <c r="G41" s="65" t="s">
        <v>54</v>
      </c>
      <c r="H41" s="65" t="s">
        <v>55</v>
      </c>
      <c r="I41" s="12">
        <f t="shared" si="0"/>
        <v>10040</v>
      </c>
    </row>
    <row r="42" spans="1:9">
      <c r="A42">
        <v>10041</v>
      </c>
      <c r="B42" s="65" t="s">
        <v>167</v>
      </c>
      <c r="C42" s="65" t="s">
        <v>168</v>
      </c>
      <c r="D42" s="65" t="s">
        <v>169</v>
      </c>
      <c r="E42" s="66">
        <v>35284</v>
      </c>
      <c r="F42" s="67">
        <v>76</v>
      </c>
      <c r="G42" s="65" t="s">
        <v>54</v>
      </c>
      <c r="H42" s="65"/>
      <c r="I42" s="12">
        <f t="shared" si="0"/>
        <v>10041</v>
      </c>
    </row>
    <row r="43" spans="1:9">
      <c r="A43">
        <v>10042</v>
      </c>
      <c r="B43" s="65" t="s">
        <v>170</v>
      </c>
      <c r="C43" s="65" t="s">
        <v>171</v>
      </c>
      <c r="D43" s="65" t="s">
        <v>172</v>
      </c>
      <c r="E43" s="66">
        <v>36161</v>
      </c>
      <c r="F43" s="67">
        <v>76</v>
      </c>
      <c r="G43" s="65" t="s">
        <v>54</v>
      </c>
      <c r="H43" s="65"/>
      <c r="I43" s="12">
        <f t="shared" si="0"/>
        <v>10042</v>
      </c>
    </row>
    <row r="44" spans="1:9">
      <c r="A44">
        <v>10043</v>
      </c>
      <c r="B44" s="65" t="s">
        <v>173</v>
      </c>
      <c r="C44" s="65" t="s">
        <v>174</v>
      </c>
      <c r="D44" s="65" t="s">
        <v>175</v>
      </c>
      <c r="E44" s="66">
        <v>37272</v>
      </c>
      <c r="F44" s="67">
        <v>76</v>
      </c>
      <c r="G44" s="65" t="s">
        <v>54</v>
      </c>
      <c r="H44" s="65"/>
      <c r="I44" s="12">
        <f t="shared" si="0"/>
        <v>10043</v>
      </c>
    </row>
    <row r="45" spans="1:9">
      <c r="A45">
        <v>10044</v>
      </c>
      <c r="B45" s="65" t="s">
        <v>176</v>
      </c>
      <c r="C45" s="65" t="s">
        <v>177</v>
      </c>
      <c r="D45" s="65"/>
      <c r="E45" s="66">
        <v>33435</v>
      </c>
      <c r="F45" s="67">
        <v>76</v>
      </c>
      <c r="G45" s="65" t="s">
        <v>54</v>
      </c>
      <c r="H45" s="65"/>
      <c r="I45" s="12">
        <f t="shared" si="0"/>
        <v>10044</v>
      </c>
    </row>
    <row r="46" spans="1:9">
      <c r="A46">
        <v>10045</v>
      </c>
      <c r="B46" s="65" t="s">
        <v>178</v>
      </c>
      <c r="C46" s="65" t="s">
        <v>126</v>
      </c>
      <c r="D46" s="65" t="s">
        <v>179</v>
      </c>
      <c r="E46" s="66">
        <v>35301</v>
      </c>
      <c r="F46" s="67">
        <v>4880</v>
      </c>
      <c r="G46" s="65" t="s">
        <v>54</v>
      </c>
      <c r="H46" s="65"/>
      <c r="I46" s="12">
        <f t="shared" si="0"/>
        <v>10045</v>
      </c>
    </row>
    <row r="47" spans="1:9">
      <c r="A47">
        <v>10046</v>
      </c>
      <c r="B47" s="65" t="s">
        <v>180</v>
      </c>
      <c r="C47" s="65" t="s">
        <v>88</v>
      </c>
      <c r="D47" s="65" t="s">
        <v>181</v>
      </c>
      <c r="E47" s="66">
        <v>36986</v>
      </c>
      <c r="F47" s="67">
        <v>76</v>
      </c>
      <c r="G47" s="65" t="s">
        <v>54</v>
      </c>
      <c r="H47" s="65"/>
      <c r="I47" s="12">
        <f t="shared" si="0"/>
        <v>10046</v>
      </c>
    </row>
    <row r="48" spans="1:9">
      <c r="A48">
        <v>10047</v>
      </c>
      <c r="B48" s="65" t="s">
        <v>182</v>
      </c>
      <c r="C48" s="65" t="s">
        <v>115</v>
      </c>
      <c r="D48" s="65" t="s">
        <v>183</v>
      </c>
      <c r="E48" s="66">
        <v>35330</v>
      </c>
      <c r="F48" s="67">
        <v>76</v>
      </c>
      <c r="G48" s="65" t="s">
        <v>54</v>
      </c>
      <c r="H48" s="65"/>
      <c r="I48" s="12">
        <f t="shared" si="0"/>
        <v>10047</v>
      </c>
    </row>
    <row r="49" spans="1:9">
      <c r="A49">
        <v>10048</v>
      </c>
      <c r="B49" s="65" t="s">
        <v>184</v>
      </c>
      <c r="C49" s="65" t="s">
        <v>185</v>
      </c>
      <c r="D49" s="65" t="s">
        <v>186</v>
      </c>
      <c r="E49" s="66">
        <v>35083</v>
      </c>
      <c r="F49" s="67">
        <v>48</v>
      </c>
      <c r="G49" s="65" t="s">
        <v>54</v>
      </c>
      <c r="H49" s="65"/>
      <c r="I49" s="12">
        <f t="shared" si="0"/>
        <v>10048</v>
      </c>
    </row>
    <row r="50" spans="1:9">
      <c r="A50">
        <v>10049</v>
      </c>
      <c r="B50" s="65" t="s">
        <v>187</v>
      </c>
      <c r="C50" s="65" t="s">
        <v>115</v>
      </c>
      <c r="D50" s="65" t="s">
        <v>188</v>
      </c>
      <c r="E50" s="66">
        <v>35096</v>
      </c>
      <c r="F50" s="67">
        <v>76</v>
      </c>
      <c r="G50" s="65" t="s">
        <v>54</v>
      </c>
      <c r="H50" s="65" t="s">
        <v>55</v>
      </c>
      <c r="I50" s="12">
        <f t="shared" si="0"/>
        <v>10049</v>
      </c>
    </row>
    <row r="51" spans="1:9">
      <c r="A51">
        <v>10050</v>
      </c>
      <c r="B51" s="65" t="s">
        <v>189</v>
      </c>
      <c r="C51" s="65" t="s">
        <v>69</v>
      </c>
      <c r="D51" s="65" t="s">
        <v>190</v>
      </c>
      <c r="E51" s="66">
        <v>35193</v>
      </c>
      <c r="F51" s="67">
        <v>76</v>
      </c>
      <c r="G51" s="65" t="s">
        <v>54</v>
      </c>
      <c r="H51" s="65"/>
      <c r="I51" s="12">
        <f t="shared" si="0"/>
        <v>10050</v>
      </c>
    </row>
    <row r="52" spans="1:9">
      <c r="A52">
        <v>10051</v>
      </c>
      <c r="B52" s="65" t="s">
        <v>189</v>
      </c>
      <c r="C52" s="65" t="s">
        <v>73</v>
      </c>
      <c r="D52" s="65" t="s">
        <v>191</v>
      </c>
      <c r="E52" s="66">
        <v>35454</v>
      </c>
      <c r="F52" s="67">
        <v>76</v>
      </c>
      <c r="G52" s="65" t="s">
        <v>54</v>
      </c>
      <c r="H52" s="65"/>
      <c r="I52" s="12">
        <f t="shared" si="0"/>
        <v>10051</v>
      </c>
    </row>
    <row r="53" spans="1:9">
      <c r="A53">
        <v>10052</v>
      </c>
      <c r="B53" s="65" t="s">
        <v>192</v>
      </c>
      <c r="C53" s="65" t="s">
        <v>193</v>
      </c>
      <c r="D53" s="65" t="s">
        <v>194</v>
      </c>
      <c r="E53" s="66">
        <v>35308</v>
      </c>
      <c r="F53" s="67">
        <v>76</v>
      </c>
      <c r="G53" s="65" t="s">
        <v>54</v>
      </c>
      <c r="H53" s="65"/>
      <c r="I53" s="12">
        <f t="shared" si="0"/>
        <v>10052</v>
      </c>
    </row>
    <row r="54" spans="1:9">
      <c r="A54">
        <v>10053</v>
      </c>
      <c r="B54" s="65" t="s">
        <v>195</v>
      </c>
      <c r="C54" s="65" t="s">
        <v>60</v>
      </c>
      <c r="D54" s="65" t="s">
        <v>196</v>
      </c>
      <c r="E54" s="66">
        <v>32003</v>
      </c>
      <c r="F54" s="67">
        <v>48</v>
      </c>
      <c r="G54" s="65" t="s">
        <v>54</v>
      </c>
      <c r="H54" s="65"/>
      <c r="I54" s="12">
        <f t="shared" si="0"/>
        <v>10053</v>
      </c>
    </row>
    <row r="55" spans="1:9">
      <c r="A55">
        <v>10054</v>
      </c>
      <c r="B55" s="65" t="s">
        <v>197</v>
      </c>
      <c r="C55" s="65" t="s">
        <v>73</v>
      </c>
      <c r="D55" s="65" t="s">
        <v>198</v>
      </c>
      <c r="E55" s="66">
        <v>37182</v>
      </c>
      <c r="F55" s="67">
        <v>76</v>
      </c>
      <c r="G55" s="65" t="s">
        <v>71</v>
      </c>
      <c r="H55" s="65"/>
      <c r="I55" s="12">
        <f t="shared" si="0"/>
        <v>10054</v>
      </c>
    </row>
    <row r="56" spans="1:9">
      <c r="A56">
        <v>10055</v>
      </c>
      <c r="B56" s="65" t="s">
        <v>199</v>
      </c>
      <c r="C56" s="65" t="s">
        <v>52</v>
      </c>
      <c r="D56" s="65" t="s">
        <v>200</v>
      </c>
      <c r="E56" s="66">
        <v>36727</v>
      </c>
      <c r="F56" s="67">
        <v>48</v>
      </c>
      <c r="G56" s="65" t="s">
        <v>54</v>
      </c>
      <c r="H56" s="65"/>
      <c r="I56" s="12">
        <f t="shared" si="0"/>
        <v>10055</v>
      </c>
    </row>
    <row r="57" spans="1:9">
      <c r="A57">
        <v>10056</v>
      </c>
      <c r="B57" s="65" t="s">
        <v>201</v>
      </c>
      <c r="C57" s="65" t="s">
        <v>202</v>
      </c>
      <c r="D57" s="65" t="s">
        <v>203</v>
      </c>
      <c r="E57" s="66">
        <v>35983</v>
      </c>
      <c r="F57" s="67">
        <v>76</v>
      </c>
      <c r="G57" s="65" t="s">
        <v>54</v>
      </c>
      <c r="H57" s="65"/>
      <c r="I57" s="12">
        <f t="shared" si="0"/>
        <v>10056</v>
      </c>
    </row>
    <row r="58" spans="1:9">
      <c r="A58">
        <v>10057</v>
      </c>
      <c r="B58" s="65" t="s">
        <v>204</v>
      </c>
      <c r="C58" s="65" t="s">
        <v>88</v>
      </c>
      <c r="D58" s="65" t="s">
        <v>205</v>
      </c>
      <c r="E58" s="66">
        <v>34915</v>
      </c>
      <c r="F58" s="67">
        <v>76</v>
      </c>
      <c r="G58" s="65" t="s">
        <v>54</v>
      </c>
      <c r="H58" s="65"/>
      <c r="I58" s="12">
        <f t="shared" si="0"/>
        <v>10057</v>
      </c>
    </row>
    <row r="59" spans="1:9">
      <c r="A59">
        <v>10058</v>
      </c>
      <c r="B59" s="65" t="s">
        <v>206</v>
      </c>
      <c r="C59" s="65" t="s">
        <v>207</v>
      </c>
      <c r="D59" s="65" t="s">
        <v>208</v>
      </c>
      <c r="E59" s="68">
        <v>35353</v>
      </c>
      <c r="F59" s="67">
        <v>76</v>
      </c>
      <c r="G59" s="65" t="s">
        <v>54</v>
      </c>
      <c r="H59" s="65"/>
      <c r="I59" s="12">
        <f t="shared" si="0"/>
        <v>10058</v>
      </c>
    </row>
    <row r="60" spans="1:9">
      <c r="A60">
        <v>10059</v>
      </c>
      <c r="B60" s="65" t="s">
        <v>209</v>
      </c>
      <c r="C60" s="65" t="s">
        <v>138</v>
      </c>
      <c r="D60" s="65" t="s">
        <v>32</v>
      </c>
      <c r="E60" s="68">
        <v>35147</v>
      </c>
      <c r="F60" s="67">
        <v>76</v>
      </c>
      <c r="G60" s="65" t="s">
        <v>54</v>
      </c>
      <c r="H60" s="65"/>
      <c r="I60" s="12">
        <f t="shared" si="0"/>
        <v>10059</v>
      </c>
    </row>
    <row r="61" spans="1:9">
      <c r="A61">
        <v>10060</v>
      </c>
      <c r="B61" s="65" t="s">
        <v>210</v>
      </c>
      <c r="C61" s="65" t="s">
        <v>211</v>
      </c>
      <c r="D61" s="65" t="s">
        <v>212</v>
      </c>
      <c r="E61" s="68">
        <v>34540</v>
      </c>
      <c r="F61" s="67">
        <v>76</v>
      </c>
      <c r="G61" s="65" t="s">
        <v>54</v>
      </c>
      <c r="H61" s="65"/>
      <c r="I61" s="12">
        <f t="shared" si="0"/>
        <v>10060</v>
      </c>
    </row>
    <row r="62" spans="1:9">
      <c r="A62">
        <v>10061</v>
      </c>
      <c r="B62" s="65" t="s">
        <v>213</v>
      </c>
      <c r="C62" s="65" t="s">
        <v>177</v>
      </c>
      <c r="D62" s="65" t="s">
        <v>214</v>
      </c>
      <c r="E62" s="66">
        <v>36386</v>
      </c>
      <c r="F62" s="67">
        <v>76</v>
      </c>
      <c r="G62" s="65" t="s">
        <v>215</v>
      </c>
      <c r="H62" s="65" t="s">
        <v>55</v>
      </c>
      <c r="I62" s="12">
        <f t="shared" si="0"/>
        <v>10061</v>
      </c>
    </row>
    <row r="63" spans="1:9">
      <c r="A63">
        <v>10062</v>
      </c>
      <c r="B63" s="65" t="s">
        <v>216</v>
      </c>
      <c r="C63" s="65" t="s">
        <v>217</v>
      </c>
      <c r="D63" s="65" t="s">
        <v>218</v>
      </c>
      <c r="E63" s="66">
        <v>38748</v>
      </c>
      <c r="F63" s="67">
        <v>76</v>
      </c>
      <c r="G63" s="65" t="s">
        <v>215</v>
      </c>
      <c r="H63" s="65"/>
      <c r="I63" s="12">
        <f t="shared" si="0"/>
        <v>10062</v>
      </c>
    </row>
    <row r="64" spans="1:9">
      <c r="A64">
        <v>10063</v>
      </c>
      <c r="B64" s="65" t="s">
        <v>219</v>
      </c>
      <c r="C64" s="65" t="s">
        <v>220</v>
      </c>
      <c r="D64" s="65" t="s">
        <v>221</v>
      </c>
      <c r="E64" s="66">
        <v>38463</v>
      </c>
      <c r="F64" s="67">
        <v>76</v>
      </c>
      <c r="G64" s="65" t="s">
        <v>215</v>
      </c>
      <c r="H64" s="65"/>
      <c r="I64" s="12">
        <f t="shared" si="0"/>
        <v>10063</v>
      </c>
    </row>
    <row r="65" spans="1:9">
      <c r="A65">
        <v>10064</v>
      </c>
      <c r="B65" s="65" t="s">
        <v>222</v>
      </c>
      <c r="C65" s="65" t="s">
        <v>223</v>
      </c>
      <c r="D65" s="65" t="s">
        <v>224</v>
      </c>
      <c r="E65" s="66">
        <v>38081</v>
      </c>
      <c r="F65" s="67">
        <v>76</v>
      </c>
      <c r="G65" s="65" t="s">
        <v>215</v>
      </c>
      <c r="H65" s="65"/>
      <c r="I65" s="12">
        <f t="shared" si="0"/>
        <v>10064</v>
      </c>
    </row>
    <row r="66" spans="1:9">
      <c r="A66">
        <v>10065</v>
      </c>
      <c r="B66" s="65" t="s">
        <v>225</v>
      </c>
      <c r="C66" s="65" t="s">
        <v>226</v>
      </c>
      <c r="D66" s="65" t="s">
        <v>227</v>
      </c>
      <c r="E66" s="66">
        <v>36354</v>
      </c>
      <c r="F66" s="67">
        <v>76</v>
      </c>
      <c r="G66" s="65" t="s">
        <v>215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228</v>
      </c>
      <c r="C67" s="65" t="s">
        <v>229</v>
      </c>
      <c r="D67" s="65" t="s">
        <v>230</v>
      </c>
      <c r="E67" s="66">
        <v>37867</v>
      </c>
      <c r="F67" s="67">
        <v>76</v>
      </c>
      <c r="G67" s="65" t="s">
        <v>215</v>
      </c>
      <c r="H67" s="65"/>
      <c r="I67" s="12">
        <f t="shared" si="1"/>
        <v>10066</v>
      </c>
    </row>
    <row r="68" spans="1:9">
      <c r="A68">
        <v>10067</v>
      </c>
      <c r="B68" s="65" t="s">
        <v>231</v>
      </c>
      <c r="C68" s="65" t="s">
        <v>232</v>
      </c>
      <c r="D68" s="65" t="s">
        <v>233</v>
      </c>
      <c r="E68" s="66">
        <v>34508</v>
      </c>
      <c r="F68" s="67">
        <v>76</v>
      </c>
      <c r="G68" s="65" t="s">
        <v>215</v>
      </c>
      <c r="H68" s="65"/>
      <c r="I68" s="12">
        <f t="shared" si="1"/>
        <v>10067</v>
      </c>
    </row>
    <row r="69" spans="1:9">
      <c r="A69">
        <v>10068</v>
      </c>
      <c r="B69" s="65" t="s">
        <v>234</v>
      </c>
      <c r="C69" s="65" t="s">
        <v>235</v>
      </c>
      <c r="D69" s="65" t="s">
        <v>236</v>
      </c>
      <c r="E69" s="66">
        <v>37566</v>
      </c>
      <c r="F69" s="67">
        <v>76</v>
      </c>
      <c r="G69" s="65" t="s">
        <v>215</v>
      </c>
      <c r="H69" s="65"/>
      <c r="I69" s="12">
        <f t="shared" si="1"/>
        <v>10068</v>
      </c>
    </row>
    <row r="70" spans="1:9">
      <c r="A70">
        <v>10069</v>
      </c>
      <c r="B70" s="65" t="s">
        <v>237</v>
      </c>
      <c r="C70" s="65" t="s">
        <v>238</v>
      </c>
      <c r="D70" s="65" t="s">
        <v>239</v>
      </c>
      <c r="E70" s="66">
        <v>38483</v>
      </c>
      <c r="F70" s="67">
        <v>76</v>
      </c>
      <c r="G70" s="65" t="s">
        <v>215</v>
      </c>
      <c r="H70" s="65"/>
      <c r="I70" s="12">
        <f t="shared" si="1"/>
        <v>10069</v>
      </c>
    </row>
    <row r="71" spans="1:9">
      <c r="A71">
        <v>10070</v>
      </c>
      <c r="B71" s="65" t="s">
        <v>240</v>
      </c>
      <c r="C71" s="65" t="s">
        <v>241</v>
      </c>
      <c r="D71" s="65" t="s">
        <v>242</v>
      </c>
      <c r="E71" s="66">
        <v>38175</v>
      </c>
      <c r="F71" s="67">
        <v>76</v>
      </c>
      <c r="G71" s="65" t="s">
        <v>215</v>
      </c>
      <c r="H71" s="65"/>
      <c r="I71" s="12">
        <f t="shared" si="1"/>
        <v>10070</v>
      </c>
    </row>
    <row r="72" spans="1:9">
      <c r="A72">
        <v>10071</v>
      </c>
      <c r="B72" s="65" t="s">
        <v>243</v>
      </c>
      <c r="C72" s="65" t="s">
        <v>244</v>
      </c>
      <c r="D72" s="65" t="s">
        <v>245</v>
      </c>
      <c r="E72" s="66">
        <v>38303</v>
      </c>
      <c r="F72" s="67">
        <v>76</v>
      </c>
      <c r="G72" s="65" t="s">
        <v>215</v>
      </c>
      <c r="H72" s="65"/>
      <c r="I72" s="12">
        <f t="shared" si="1"/>
        <v>10071</v>
      </c>
    </row>
    <row r="73" spans="1:9">
      <c r="A73">
        <v>10072</v>
      </c>
      <c r="B73" s="65" t="s">
        <v>246</v>
      </c>
      <c r="C73" s="65" t="s">
        <v>126</v>
      </c>
      <c r="D73" s="65" t="s">
        <v>247</v>
      </c>
      <c r="E73" s="66">
        <v>35410</v>
      </c>
      <c r="F73" s="67">
        <v>76</v>
      </c>
      <c r="G73" s="65" t="s">
        <v>215</v>
      </c>
      <c r="H73" s="65"/>
      <c r="I73" s="12">
        <f t="shared" si="1"/>
        <v>10072</v>
      </c>
    </row>
    <row r="74" spans="1:9">
      <c r="A74">
        <v>10073</v>
      </c>
      <c r="B74" s="65" t="s">
        <v>248</v>
      </c>
      <c r="C74" s="65" t="s">
        <v>249</v>
      </c>
      <c r="D74" s="65" t="s">
        <v>250</v>
      </c>
      <c r="E74" s="66">
        <v>38121</v>
      </c>
      <c r="F74" s="67">
        <v>76</v>
      </c>
      <c r="G74" s="65" t="s">
        <v>215</v>
      </c>
      <c r="H74" s="65"/>
      <c r="I74" s="12">
        <f t="shared" si="1"/>
        <v>10073</v>
      </c>
    </row>
    <row r="75" spans="1:9">
      <c r="A75">
        <v>10074</v>
      </c>
      <c r="B75" s="65" t="s">
        <v>251</v>
      </c>
      <c r="C75" s="65" t="s">
        <v>252</v>
      </c>
      <c r="D75" s="65" t="s">
        <v>253</v>
      </c>
      <c r="E75" s="66">
        <v>32690</v>
      </c>
      <c r="F75" s="67">
        <v>48</v>
      </c>
      <c r="G75" s="65" t="s">
        <v>215</v>
      </c>
      <c r="H75" s="65"/>
      <c r="I75" s="12">
        <f t="shared" si="1"/>
        <v>10074</v>
      </c>
    </row>
    <row r="76" spans="1:9">
      <c r="A76">
        <v>10075</v>
      </c>
      <c r="B76" s="65" t="s">
        <v>254</v>
      </c>
      <c r="C76" s="65" t="s">
        <v>241</v>
      </c>
      <c r="D76" s="65" t="s">
        <v>255</v>
      </c>
      <c r="E76" s="66">
        <v>31279</v>
      </c>
      <c r="F76" s="67">
        <v>76</v>
      </c>
      <c r="G76" s="65" t="s">
        <v>215</v>
      </c>
      <c r="H76" s="65"/>
      <c r="I76" s="12">
        <f t="shared" si="1"/>
        <v>10075</v>
      </c>
    </row>
    <row r="77" spans="1:9">
      <c r="A77">
        <v>10076</v>
      </c>
      <c r="B77" s="65" t="s">
        <v>62</v>
      </c>
      <c r="C77" s="65" t="s">
        <v>79</v>
      </c>
      <c r="D77" s="65" t="s">
        <v>256</v>
      </c>
      <c r="E77" s="66">
        <v>35852</v>
      </c>
      <c r="F77" s="67">
        <v>76</v>
      </c>
      <c r="G77" s="65" t="s">
        <v>215</v>
      </c>
      <c r="H77" s="65"/>
      <c r="I77" s="12">
        <f t="shared" si="1"/>
        <v>10076</v>
      </c>
    </row>
    <row r="78" spans="1:9">
      <c r="A78">
        <v>10077</v>
      </c>
      <c r="B78" s="65" t="s">
        <v>257</v>
      </c>
      <c r="C78" s="65" t="s">
        <v>258</v>
      </c>
      <c r="D78" s="65" t="s">
        <v>257</v>
      </c>
      <c r="E78" s="66">
        <v>37626</v>
      </c>
      <c r="F78" s="67">
        <v>76</v>
      </c>
      <c r="G78" s="65" t="s">
        <v>215</v>
      </c>
      <c r="H78" s="65"/>
      <c r="I78" s="12">
        <f t="shared" si="1"/>
        <v>10077</v>
      </c>
    </row>
    <row r="79" spans="1:9">
      <c r="A79">
        <v>10078</v>
      </c>
      <c r="B79" s="65" t="s">
        <v>259</v>
      </c>
      <c r="C79" s="65" t="s">
        <v>260</v>
      </c>
      <c r="D79" s="65" t="s">
        <v>261</v>
      </c>
      <c r="E79" s="66">
        <v>37475</v>
      </c>
      <c r="F79" s="67">
        <v>76</v>
      </c>
      <c r="G79" s="65" t="s">
        <v>215</v>
      </c>
      <c r="H79" s="65"/>
      <c r="I79" s="12">
        <f t="shared" si="1"/>
        <v>10078</v>
      </c>
    </row>
    <row r="80" spans="1:9">
      <c r="A80">
        <v>10079</v>
      </c>
      <c r="B80" s="65" t="s">
        <v>262</v>
      </c>
      <c r="C80" s="65" t="s">
        <v>171</v>
      </c>
      <c r="D80" s="65" t="s">
        <v>263</v>
      </c>
      <c r="E80" s="66">
        <v>34998</v>
      </c>
      <c r="F80" s="67">
        <v>76</v>
      </c>
      <c r="G80" s="65" t="s">
        <v>215</v>
      </c>
      <c r="H80" s="65"/>
      <c r="I80" s="12">
        <f t="shared" si="1"/>
        <v>10079</v>
      </c>
    </row>
    <row r="81" spans="1:9">
      <c r="A81">
        <v>10080</v>
      </c>
      <c r="B81" s="65" t="s">
        <v>264</v>
      </c>
      <c r="C81" s="65" t="s">
        <v>265</v>
      </c>
      <c r="D81" s="65" t="s">
        <v>266</v>
      </c>
      <c r="E81" s="66">
        <v>39227</v>
      </c>
      <c r="F81" s="67">
        <v>76</v>
      </c>
      <c r="G81" s="65" t="s">
        <v>215</v>
      </c>
      <c r="H81" s="65"/>
      <c r="I81" s="12">
        <f t="shared" si="1"/>
        <v>10080</v>
      </c>
    </row>
    <row r="82" spans="1:9">
      <c r="A82">
        <v>10081</v>
      </c>
      <c r="B82" s="65" t="s">
        <v>267</v>
      </c>
      <c r="C82" s="65" t="s">
        <v>268</v>
      </c>
      <c r="D82" s="65" t="s">
        <v>269</v>
      </c>
      <c r="E82" s="66">
        <v>37594</v>
      </c>
      <c r="F82" s="67">
        <v>76</v>
      </c>
      <c r="G82" s="65" t="s">
        <v>215</v>
      </c>
      <c r="H82" s="65"/>
      <c r="I82" s="12">
        <f t="shared" si="1"/>
        <v>10081</v>
      </c>
    </row>
    <row r="83" spans="1:9">
      <c r="A83">
        <v>10082</v>
      </c>
      <c r="B83" s="65" t="s">
        <v>270</v>
      </c>
      <c r="C83" s="65" t="s">
        <v>271</v>
      </c>
      <c r="D83" s="65" t="s">
        <v>272</v>
      </c>
      <c r="E83" s="66">
        <v>38610</v>
      </c>
      <c r="F83" s="67">
        <v>76</v>
      </c>
      <c r="G83" s="65" t="s">
        <v>215</v>
      </c>
      <c r="H83" s="65"/>
      <c r="I83" s="12">
        <f t="shared" si="1"/>
        <v>10082</v>
      </c>
    </row>
    <row r="84" spans="1:9">
      <c r="A84">
        <v>10083</v>
      </c>
      <c r="B84" s="65" t="s">
        <v>273</v>
      </c>
      <c r="C84" s="65" t="s">
        <v>274</v>
      </c>
      <c r="D84" s="65" t="s">
        <v>275</v>
      </c>
      <c r="E84" s="66">
        <v>37674</v>
      </c>
      <c r="F84" s="67">
        <v>76</v>
      </c>
      <c r="G84" s="65" t="s">
        <v>215</v>
      </c>
      <c r="H84" s="65"/>
      <c r="I84" s="12">
        <f t="shared" si="1"/>
        <v>10083</v>
      </c>
    </row>
    <row r="85" spans="1:9">
      <c r="A85">
        <v>10084</v>
      </c>
      <c r="B85" s="65" t="s">
        <v>276</v>
      </c>
      <c r="C85" s="65" t="s">
        <v>277</v>
      </c>
      <c r="D85" s="65" t="s">
        <v>278</v>
      </c>
      <c r="E85" s="66">
        <v>38575</v>
      </c>
      <c r="F85" s="67">
        <v>76</v>
      </c>
      <c r="G85" s="65" t="s">
        <v>215</v>
      </c>
      <c r="H85" s="65"/>
      <c r="I85" s="12">
        <f t="shared" si="1"/>
        <v>10084</v>
      </c>
    </row>
    <row r="86" spans="1:9">
      <c r="A86">
        <v>10085</v>
      </c>
      <c r="B86" s="65" t="s">
        <v>279</v>
      </c>
      <c r="C86" s="65" t="s">
        <v>280</v>
      </c>
      <c r="D86" s="65" t="s">
        <v>281</v>
      </c>
      <c r="E86" s="66">
        <v>38322</v>
      </c>
      <c r="F86" s="67">
        <v>76</v>
      </c>
      <c r="G86" s="65" t="s">
        <v>215</v>
      </c>
      <c r="H86" s="65"/>
      <c r="I86" s="12">
        <f t="shared" si="1"/>
        <v>10085</v>
      </c>
    </row>
    <row r="87" spans="1:9">
      <c r="A87">
        <v>10086</v>
      </c>
      <c r="B87" s="65" t="s">
        <v>282</v>
      </c>
      <c r="C87" s="65" t="s">
        <v>126</v>
      </c>
      <c r="D87" s="65" t="s">
        <v>283</v>
      </c>
      <c r="E87" s="66">
        <v>33456</v>
      </c>
      <c r="F87" s="67">
        <v>76</v>
      </c>
      <c r="G87" s="65" t="s">
        <v>215</v>
      </c>
      <c r="H87" s="65"/>
      <c r="I87" s="12">
        <f t="shared" si="1"/>
        <v>10086</v>
      </c>
    </row>
    <row r="88" spans="1:9">
      <c r="A88">
        <v>10087</v>
      </c>
      <c r="B88" s="65" t="s">
        <v>284</v>
      </c>
      <c r="C88" s="65" t="s">
        <v>285</v>
      </c>
      <c r="D88" s="65" t="s">
        <v>286</v>
      </c>
      <c r="E88" s="66">
        <v>35972</v>
      </c>
      <c r="F88" s="67">
        <v>76</v>
      </c>
      <c r="G88" s="65" t="s">
        <v>215</v>
      </c>
      <c r="H88" s="65"/>
      <c r="I88" s="12">
        <f t="shared" si="1"/>
        <v>10087</v>
      </c>
    </row>
    <row r="89" spans="1:9">
      <c r="A89">
        <v>10088</v>
      </c>
      <c r="B89" s="65" t="s">
        <v>287</v>
      </c>
      <c r="C89" s="65" t="s">
        <v>171</v>
      </c>
      <c r="D89" s="65" t="s">
        <v>288</v>
      </c>
      <c r="E89" s="66">
        <v>36599</v>
      </c>
      <c r="F89" s="67">
        <v>76</v>
      </c>
      <c r="G89" s="65" t="s">
        <v>215</v>
      </c>
      <c r="H89" s="65"/>
      <c r="I89" s="12">
        <f t="shared" si="1"/>
        <v>10088</v>
      </c>
    </row>
    <row r="90" spans="1:9">
      <c r="A90">
        <v>10089</v>
      </c>
      <c r="B90" s="65" t="s">
        <v>289</v>
      </c>
      <c r="C90" s="65" t="s">
        <v>290</v>
      </c>
      <c r="D90" s="65" t="s">
        <v>291</v>
      </c>
      <c r="E90" s="66">
        <v>35131</v>
      </c>
      <c r="F90" s="67">
        <v>76</v>
      </c>
      <c r="G90" s="65" t="s">
        <v>215</v>
      </c>
      <c r="H90" s="65"/>
      <c r="I90" s="12">
        <f t="shared" si="1"/>
        <v>10089</v>
      </c>
    </row>
    <row r="91" spans="1:9">
      <c r="A91">
        <v>10090</v>
      </c>
      <c r="B91" s="65" t="s">
        <v>292</v>
      </c>
      <c r="C91" s="65" t="s">
        <v>293</v>
      </c>
      <c r="D91" s="65" t="s">
        <v>34</v>
      </c>
      <c r="E91" s="66">
        <v>33945</v>
      </c>
      <c r="F91" s="67">
        <v>48</v>
      </c>
      <c r="G91" s="65" t="s">
        <v>215</v>
      </c>
      <c r="H91" s="65" t="s">
        <v>55</v>
      </c>
      <c r="I91" s="12">
        <f t="shared" si="1"/>
        <v>10090</v>
      </c>
    </row>
    <row r="92" spans="1:9">
      <c r="A92">
        <v>10091</v>
      </c>
      <c r="B92" s="65" t="s">
        <v>294</v>
      </c>
      <c r="C92" s="65" t="s">
        <v>295</v>
      </c>
      <c r="D92" s="65" t="s">
        <v>296</v>
      </c>
      <c r="E92" s="66">
        <v>37208</v>
      </c>
      <c r="F92" s="67">
        <v>48</v>
      </c>
      <c r="G92" s="65" t="s">
        <v>215</v>
      </c>
      <c r="H92" s="65"/>
      <c r="I92" s="12">
        <f t="shared" si="1"/>
        <v>10091</v>
      </c>
    </row>
    <row r="93" spans="1:9">
      <c r="A93">
        <v>10092</v>
      </c>
      <c r="B93" s="65" t="s">
        <v>297</v>
      </c>
      <c r="C93" s="65" t="s">
        <v>171</v>
      </c>
      <c r="D93" s="65" t="s">
        <v>298</v>
      </c>
      <c r="E93" s="66">
        <v>37772</v>
      </c>
      <c r="F93" s="67">
        <v>76</v>
      </c>
      <c r="G93" s="65" t="s">
        <v>215</v>
      </c>
      <c r="H93" s="65"/>
      <c r="I93" s="12">
        <f t="shared" si="1"/>
        <v>10092</v>
      </c>
    </row>
    <row r="94" spans="1:9">
      <c r="A94">
        <v>10093</v>
      </c>
      <c r="B94" s="65" t="s">
        <v>299</v>
      </c>
      <c r="C94" s="65" t="s">
        <v>300</v>
      </c>
      <c r="D94" s="65" t="s">
        <v>301</v>
      </c>
      <c r="E94" s="66">
        <v>38290</v>
      </c>
      <c r="F94" s="67">
        <v>76</v>
      </c>
      <c r="G94" s="65" t="s">
        <v>215</v>
      </c>
      <c r="H94" s="65"/>
      <c r="I94" s="12">
        <f t="shared" si="1"/>
        <v>10093</v>
      </c>
    </row>
    <row r="95" spans="1:9">
      <c r="A95">
        <v>10094</v>
      </c>
      <c r="B95" s="65" t="s">
        <v>302</v>
      </c>
      <c r="C95" s="65" t="s">
        <v>303</v>
      </c>
      <c r="D95" s="65" t="s">
        <v>304</v>
      </c>
      <c r="E95" s="66">
        <v>36889</v>
      </c>
      <c r="F95" s="67">
        <v>76</v>
      </c>
      <c r="G95" s="65" t="s">
        <v>215</v>
      </c>
      <c r="H95" s="65"/>
      <c r="I95" s="12">
        <f t="shared" si="1"/>
        <v>10094</v>
      </c>
    </row>
    <row r="96" spans="1:9">
      <c r="A96">
        <v>10095</v>
      </c>
      <c r="B96" s="65" t="s">
        <v>305</v>
      </c>
      <c r="C96" s="65" t="s">
        <v>306</v>
      </c>
      <c r="D96" s="65" t="s">
        <v>307</v>
      </c>
      <c r="E96" s="66">
        <v>36967</v>
      </c>
      <c r="F96" s="67">
        <v>76</v>
      </c>
      <c r="G96" s="65" t="s">
        <v>215</v>
      </c>
      <c r="H96" s="65"/>
      <c r="I96" s="12">
        <f t="shared" si="1"/>
        <v>10095</v>
      </c>
    </row>
    <row r="97" spans="1:9">
      <c r="A97">
        <v>10096</v>
      </c>
      <c r="B97" s="65" t="s">
        <v>308</v>
      </c>
      <c r="C97" s="65" t="s">
        <v>309</v>
      </c>
      <c r="D97" s="65" t="s">
        <v>310</v>
      </c>
      <c r="E97" s="66">
        <v>29368</v>
      </c>
      <c r="F97" s="67">
        <v>76</v>
      </c>
      <c r="G97" s="65" t="s">
        <v>215</v>
      </c>
      <c r="H97" s="65"/>
      <c r="I97" s="12">
        <f t="shared" si="1"/>
        <v>10096</v>
      </c>
    </row>
    <row r="98" spans="1:9">
      <c r="A98">
        <v>10097</v>
      </c>
      <c r="B98" s="65" t="s">
        <v>112</v>
      </c>
      <c r="C98" s="65" t="s">
        <v>311</v>
      </c>
      <c r="D98" s="65" t="s">
        <v>312</v>
      </c>
      <c r="E98" s="66">
        <v>32547</v>
      </c>
      <c r="F98" s="67">
        <v>100</v>
      </c>
      <c r="G98" s="65" t="s">
        <v>215</v>
      </c>
      <c r="H98" s="65"/>
      <c r="I98" s="12">
        <f t="shared" si="1"/>
        <v>10097</v>
      </c>
    </row>
    <row r="99" spans="1:9">
      <c r="A99">
        <v>10098</v>
      </c>
      <c r="B99" s="65" t="s">
        <v>313</v>
      </c>
      <c r="C99" s="65" t="s">
        <v>314</v>
      </c>
      <c r="D99" s="65" t="s">
        <v>315</v>
      </c>
      <c r="E99" s="66">
        <v>37885</v>
      </c>
      <c r="F99" s="67">
        <v>76</v>
      </c>
      <c r="G99" s="65" t="s">
        <v>215</v>
      </c>
      <c r="H99" s="65"/>
      <c r="I99" s="12">
        <f t="shared" si="1"/>
        <v>10098</v>
      </c>
    </row>
    <row r="100" spans="1:9">
      <c r="A100">
        <v>10099</v>
      </c>
      <c r="B100" s="65" t="s">
        <v>117</v>
      </c>
      <c r="C100" s="65" t="s">
        <v>118</v>
      </c>
      <c r="D100" s="65" t="s">
        <v>316</v>
      </c>
      <c r="E100" s="66">
        <v>34717</v>
      </c>
      <c r="F100" s="67">
        <v>76</v>
      </c>
      <c r="G100" s="65" t="s">
        <v>215</v>
      </c>
      <c r="H100" s="65"/>
      <c r="I100" s="12">
        <f t="shared" si="1"/>
        <v>10099</v>
      </c>
    </row>
    <row r="101" spans="1:9">
      <c r="A101">
        <v>10100</v>
      </c>
      <c r="B101" s="65" t="s">
        <v>317</v>
      </c>
      <c r="C101" s="65" t="s">
        <v>318</v>
      </c>
      <c r="D101" s="65" t="s">
        <v>319</v>
      </c>
      <c r="E101" s="66">
        <v>36411</v>
      </c>
      <c r="F101" s="67">
        <v>76</v>
      </c>
      <c r="G101" s="65" t="s">
        <v>215</v>
      </c>
      <c r="H101" s="65"/>
      <c r="I101" s="12">
        <f t="shared" si="1"/>
        <v>10100</v>
      </c>
    </row>
    <row r="102" spans="1:9">
      <c r="A102">
        <v>10101</v>
      </c>
      <c r="B102" s="65" t="s">
        <v>320</v>
      </c>
      <c r="C102" s="65" t="s">
        <v>115</v>
      </c>
      <c r="D102" s="65" t="s">
        <v>321</v>
      </c>
      <c r="E102" s="66">
        <v>35497</v>
      </c>
      <c r="F102" s="67">
        <v>76</v>
      </c>
      <c r="G102" s="65" t="s">
        <v>215</v>
      </c>
      <c r="H102" s="65"/>
      <c r="I102" s="12">
        <f t="shared" si="1"/>
        <v>10101</v>
      </c>
    </row>
    <row r="103" spans="1:9">
      <c r="A103">
        <v>10102</v>
      </c>
      <c r="B103" s="65" t="s">
        <v>322</v>
      </c>
      <c r="C103" s="65" t="s">
        <v>323</v>
      </c>
      <c r="D103" s="65" t="s">
        <v>324</v>
      </c>
      <c r="E103" s="66">
        <v>38134</v>
      </c>
      <c r="F103" s="67">
        <v>76</v>
      </c>
      <c r="G103" s="65" t="s">
        <v>215</v>
      </c>
      <c r="H103" s="65"/>
      <c r="I103" s="12">
        <f t="shared" si="1"/>
        <v>10102</v>
      </c>
    </row>
    <row r="104" spans="1:9">
      <c r="A104">
        <v>10103</v>
      </c>
      <c r="B104" s="65" t="s">
        <v>325</v>
      </c>
      <c r="C104" s="65" t="s">
        <v>326</v>
      </c>
      <c r="D104" s="65" t="s">
        <v>327</v>
      </c>
      <c r="E104" s="66">
        <v>38319</v>
      </c>
      <c r="F104" s="67">
        <v>76</v>
      </c>
      <c r="G104" s="65" t="s">
        <v>215</v>
      </c>
      <c r="H104" s="65"/>
      <c r="I104" s="12">
        <f t="shared" si="1"/>
        <v>10103</v>
      </c>
    </row>
    <row r="105" spans="1:9">
      <c r="A105">
        <v>10104</v>
      </c>
      <c r="B105" s="65" t="s">
        <v>328</v>
      </c>
      <c r="C105" s="65" t="s">
        <v>329</v>
      </c>
      <c r="D105" s="65" t="s">
        <v>330</v>
      </c>
      <c r="E105" s="66">
        <v>38565</v>
      </c>
      <c r="F105" s="67">
        <v>76</v>
      </c>
      <c r="G105" s="65" t="s">
        <v>215</v>
      </c>
      <c r="H105" s="65"/>
      <c r="I105" s="12">
        <f t="shared" si="1"/>
        <v>10104</v>
      </c>
    </row>
    <row r="106" spans="1:9">
      <c r="A106">
        <v>10105</v>
      </c>
      <c r="B106" s="65" t="s">
        <v>331</v>
      </c>
      <c r="C106" s="65" t="s">
        <v>332</v>
      </c>
      <c r="D106" s="65" t="s">
        <v>333</v>
      </c>
      <c r="E106" s="66">
        <v>38355</v>
      </c>
      <c r="F106" s="67">
        <v>76</v>
      </c>
      <c r="G106" s="65" t="s">
        <v>71</v>
      </c>
      <c r="H106" s="65"/>
      <c r="I106" s="12">
        <f t="shared" si="1"/>
        <v>10105</v>
      </c>
    </row>
    <row r="107" spans="1:9">
      <c r="A107">
        <v>10106</v>
      </c>
      <c r="B107" s="65" t="s">
        <v>334</v>
      </c>
      <c r="C107" s="65" t="s">
        <v>335</v>
      </c>
      <c r="D107" s="65" t="s">
        <v>336</v>
      </c>
      <c r="E107" s="66">
        <v>36861</v>
      </c>
      <c r="F107" s="67">
        <v>48</v>
      </c>
      <c r="G107" s="65" t="s">
        <v>215</v>
      </c>
      <c r="H107" s="65"/>
      <c r="I107" s="12">
        <f t="shared" si="1"/>
        <v>10106</v>
      </c>
    </row>
    <row r="108" spans="1:9">
      <c r="A108">
        <v>10107</v>
      </c>
      <c r="B108" s="65" t="s">
        <v>337</v>
      </c>
      <c r="C108" s="65" t="s">
        <v>338</v>
      </c>
      <c r="D108" s="65" t="s">
        <v>337</v>
      </c>
      <c r="E108" s="66">
        <v>38536</v>
      </c>
      <c r="F108" s="67">
        <v>76</v>
      </c>
      <c r="G108" s="65" t="s">
        <v>215</v>
      </c>
      <c r="H108" s="65"/>
      <c r="I108" s="12">
        <f t="shared" si="1"/>
        <v>10107</v>
      </c>
    </row>
    <row r="109" spans="1:9">
      <c r="A109">
        <v>10108</v>
      </c>
      <c r="B109" s="65" t="s">
        <v>339</v>
      </c>
      <c r="C109" s="65" t="s">
        <v>340</v>
      </c>
      <c r="D109" s="65" t="s">
        <v>341</v>
      </c>
      <c r="E109" s="66">
        <v>38156</v>
      </c>
      <c r="F109" s="67">
        <v>76</v>
      </c>
      <c r="G109" s="65" t="s">
        <v>215</v>
      </c>
      <c r="H109" s="65"/>
      <c r="I109" s="12">
        <f t="shared" si="1"/>
        <v>10108</v>
      </c>
    </row>
    <row r="110" spans="1:9">
      <c r="A110">
        <v>10109</v>
      </c>
      <c r="B110" s="65" t="s">
        <v>342</v>
      </c>
      <c r="C110" s="65" t="s">
        <v>343</v>
      </c>
      <c r="D110" s="65" t="s">
        <v>344</v>
      </c>
      <c r="E110" s="66">
        <v>37541</v>
      </c>
      <c r="F110" s="67">
        <v>76</v>
      </c>
      <c r="G110" s="65" t="s">
        <v>215</v>
      </c>
      <c r="H110" s="65"/>
      <c r="I110" s="12">
        <f t="shared" si="1"/>
        <v>10109</v>
      </c>
    </row>
    <row r="111" spans="1:9">
      <c r="A111">
        <v>10110</v>
      </c>
      <c r="B111" s="65" t="s">
        <v>345</v>
      </c>
      <c r="C111" s="65" t="s">
        <v>346</v>
      </c>
      <c r="D111" s="65" t="s">
        <v>347</v>
      </c>
      <c r="E111" s="66">
        <v>32304</v>
      </c>
      <c r="F111" s="67">
        <v>76</v>
      </c>
      <c r="G111" s="65" t="s">
        <v>215</v>
      </c>
      <c r="H111" s="65"/>
      <c r="I111" s="12">
        <f t="shared" si="1"/>
        <v>10110</v>
      </c>
    </row>
    <row r="112" spans="1:9">
      <c r="A112">
        <v>10111</v>
      </c>
      <c r="B112" s="65" t="s">
        <v>348</v>
      </c>
      <c r="C112" s="65" t="s">
        <v>126</v>
      </c>
      <c r="D112" s="65" t="s">
        <v>349</v>
      </c>
      <c r="E112" s="66">
        <v>34923</v>
      </c>
      <c r="F112" s="67">
        <v>76</v>
      </c>
      <c r="G112" s="65" t="s">
        <v>215</v>
      </c>
      <c r="H112" s="65"/>
      <c r="I112" s="12">
        <f t="shared" si="1"/>
        <v>10111</v>
      </c>
    </row>
    <row r="113" spans="1:9">
      <c r="A113">
        <v>10112</v>
      </c>
      <c r="B113" s="65" t="s">
        <v>229</v>
      </c>
      <c r="C113" s="65" t="s">
        <v>350</v>
      </c>
      <c r="D113" s="65" t="s">
        <v>351</v>
      </c>
      <c r="E113" s="66">
        <v>38864</v>
      </c>
      <c r="F113" s="67">
        <v>76</v>
      </c>
      <c r="G113" s="65" t="s">
        <v>215</v>
      </c>
      <c r="H113" s="65"/>
      <c r="I113" s="12">
        <f t="shared" si="1"/>
        <v>10112</v>
      </c>
    </row>
    <row r="114" spans="1:9">
      <c r="A114">
        <v>10113</v>
      </c>
      <c r="B114" s="65" t="s">
        <v>352</v>
      </c>
      <c r="C114" s="65" t="s">
        <v>135</v>
      </c>
      <c r="D114" s="65" t="s">
        <v>353</v>
      </c>
      <c r="E114" s="66">
        <v>37690</v>
      </c>
      <c r="F114" s="67">
        <v>76</v>
      </c>
      <c r="G114" s="65" t="s">
        <v>215</v>
      </c>
      <c r="H114" s="65"/>
      <c r="I114" s="12">
        <f t="shared" si="1"/>
        <v>10113</v>
      </c>
    </row>
    <row r="115" spans="1:9">
      <c r="A115">
        <v>10114</v>
      </c>
      <c r="B115" s="65" t="s">
        <v>354</v>
      </c>
      <c r="C115" s="65" t="s">
        <v>355</v>
      </c>
      <c r="D115" s="65" t="s">
        <v>356</v>
      </c>
      <c r="E115" s="66">
        <v>37406</v>
      </c>
      <c r="F115" s="67">
        <v>76</v>
      </c>
      <c r="G115" s="65" t="s">
        <v>215</v>
      </c>
      <c r="H115" s="65"/>
      <c r="I115" s="12">
        <f t="shared" si="1"/>
        <v>10114</v>
      </c>
    </row>
    <row r="116" spans="1:9">
      <c r="A116">
        <v>10115</v>
      </c>
      <c r="B116" s="65" t="s">
        <v>357</v>
      </c>
      <c r="C116" s="65" t="s">
        <v>118</v>
      </c>
      <c r="D116" s="65" t="s">
        <v>358</v>
      </c>
      <c r="E116" s="66">
        <v>38996</v>
      </c>
      <c r="F116" s="67">
        <v>76</v>
      </c>
      <c r="G116" s="65" t="s">
        <v>215</v>
      </c>
      <c r="H116" s="65"/>
      <c r="I116" s="12">
        <f t="shared" si="1"/>
        <v>10115</v>
      </c>
    </row>
    <row r="117" spans="1:9">
      <c r="A117">
        <v>10116</v>
      </c>
      <c r="B117" s="65" t="s">
        <v>359</v>
      </c>
      <c r="C117" s="65" t="s">
        <v>360</v>
      </c>
      <c r="D117" s="65" t="s">
        <v>361</v>
      </c>
      <c r="E117" s="66">
        <v>37090</v>
      </c>
      <c r="F117" s="67">
        <v>76</v>
      </c>
      <c r="G117" s="65" t="s">
        <v>215</v>
      </c>
      <c r="H117" s="65"/>
      <c r="I117" s="12">
        <f t="shared" si="1"/>
        <v>10116</v>
      </c>
    </row>
    <row r="118" spans="1:9">
      <c r="A118">
        <v>10117</v>
      </c>
      <c r="B118" s="65" t="s">
        <v>362</v>
      </c>
      <c r="C118" s="65" t="s">
        <v>207</v>
      </c>
      <c r="D118" s="65" t="s">
        <v>363</v>
      </c>
      <c r="E118" s="66">
        <v>37755</v>
      </c>
      <c r="F118" s="67">
        <v>76</v>
      </c>
      <c r="G118" s="65" t="s">
        <v>215</v>
      </c>
      <c r="H118" s="65"/>
      <c r="I118" s="12">
        <f t="shared" si="1"/>
        <v>10117</v>
      </c>
    </row>
    <row r="119" spans="1:9">
      <c r="A119">
        <v>10118</v>
      </c>
      <c r="B119" s="65" t="s">
        <v>364</v>
      </c>
      <c r="C119" s="65" t="s">
        <v>126</v>
      </c>
      <c r="D119" s="65" t="s">
        <v>365</v>
      </c>
      <c r="E119" s="66">
        <v>37518</v>
      </c>
      <c r="F119" s="67">
        <v>76</v>
      </c>
      <c r="G119" s="65" t="s">
        <v>215</v>
      </c>
      <c r="H119" s="65"/>
      <c r="I119" s="12">
        <f t="shared" si="1"/>
        <v>10118</v>
      </c>
    </row>
    <row r="120" spans="1:9">
      <c r="A120">
        <v>10119</v>
      </c>
      <c r="B120" s="65" t="s">
        <v>366</v>
      </c>
      <c r="C120" s="65" t="s">
        <v>165</v>
      </c>
      <c r="D120" s="65" t="s">
        <v>367</v>
      </c>
      <c r="E120" s="66">
        <v>37896</v>
      </c>
      <c r="F120" s="67">
        <v>76</v>
      </c>
      <c r="G120" s="65" t="s">
        <v>215</v>
      </c>
      <c r="H120" s="65"/>
      <c r="I120" s="12">
        <f t="shared" si="1"/>
        <v>10119</v>
      </c>
    </row>
    <row r="121" spans="1:9">
      <c r="A121">
        <v>10120</v>
      </c>
      <c r="B121" s="65" t="s">
        <v>368</v>
      </c>
      <c r="C121" s="65" t="s">
        <v>335</v>
      </c>
      <c r="D121" s="65" t="s">
        <v>369</v>
      </c>
      <c r="E121" s="66">
        <v>36300</v>
      </c>
      <c r="F121" s="67">
        <v>100</v>
      </c>
      <c r="G121" s="65" t="s">
        <v>215</v>
      </c>
      <c r="H121" s="65"/>
      <c r="I121" s="12">
        <f t="shared" si="1"/>
        <v>10120</v>
      </c>
    </row>
    <row r="122" spans="1:9">
      <c r="A122">
        <v>10121</v>
      </c>
      <c r="B122" s="65" t="s">
        <v>370</v>
      </c>
      <c r="C122" s="65" t="s">
        <v>52</v>
      </c>
      <c r="D122" s="65" t="s">
        <v>371</v>
      </c>
      <c r="E122" s="66">
        <v>38072</v>
      </c>
      <c r="F122" s="67">
        <v>76</v>
      </c>
      <c r="G122" s="65" t="s">
        <v>215</v>
      </c>
      <c r="H122" s="65"/>
      <c r="I122" s="12">
        <f t="shared" si="1"/>
        <v>10121</v>
      </c>
    </row>
    <row r="123" spans="1:9">
      <c r="A123">
        <v>10122</v>
      </c>
      <c r="B123" s="65" t="s">
        <v>372</v>
      </c>
      <c r="C123" s="65" t="s">
        <v>171</v>
      </c>
      <c r="D123" s="65" t="s">
        <v>373</v>
      </c>
      <c r="E123" s="66">
        <v>38669</v>
      </c>
      <c r="F123" s="67">
        <v>76</v>
      </c>
      <c r="G123" s="65" t="s">
        <v>215</v>
      </c>
      <c r="H123" s="65"/>
      <c r="I123" s="12">
        <f t="shared" si="1"/>
        <v>10122</v>
      </c>
    </row>
    <row r="124" spans="1:9">
      <c r="A124">
        <v>10123</v>
      </c>
      <c r="B124" s="65" t="s">
        <v>374</v>
      </c>
      <c r="C124" s="65" t="s">
        <v>314</v>
      </c>
      <c r="D124" s="65" t="s">
        <v>375</v>
      </c>
      <c r="E124" s="66">
        <v>36329</v>
      </c>
      <c r="F124" s="67">
        <v>48</v>
      </c>
      <c r="G124" s="65" t="s">
        <v>215</v>
      </c>
      <c r="H124" s="65"/>
      <c r="I124" s="12">
        <f t="shared" si="1"/>
        <v>10123</v>
      </c>
    </row>
    <row r="125" spans="1:9">
      <c r="A125">
        <v>10124</v>
      </c>
      <c r="B125" s="65" t="s">
        <v>376</v>
      </c>
      <c r="C125" s="65" t="s">
        <v>377</v>
      </c>
      <c r="D125" s="65" t="s">
        <v>378</v>
      </c>
      <c r="E125" s="66">
        <v>37614</v>
      </c>
      <c r="F125" s="67">
        <v>76</v>
      </c>
      <c r="G125" s="65" t="s">
        <v>215</v>
      </c>
      <c r="H125" s="65"/>
      <c r="I125" s="12">
        <f t="shared" si="1"/>
        <v>10124</v>
      </c>
    </row>
    <row r="126" spans="1:9">
      <c r="A126">
        <v>10125</v>
      </c>
      <c r="B126" s="65" t="s">
        <v>379</v>
      </c>
      <c r="C126" s="65" t="s">
        <v>380</v>
      </c>
      <c r="D126" s="65" t="s">
        <v>381</v>
      </c>
      <c r="E126" s="66">
        <v>35184</v>
      </c>
      <c r="F126" s="67">
        <v>76</v>
      </c>
      <c r="G126" s="65" t="s">
        <v>215</v>
      </c>
      <c r="H126" s="65"/>
      <c r="I126" s="12">
        <f t="shared" si="1"/>
        <v>10125</v>
      </c>
    </row>
    <row r="127" spans="1:9">
      <c r="A127">
        <v>10126</v>
      </c>
      <c r="B127" s="65" t="s">
        <v>382</v>
      </c>
      <c r="C127" s="65" t="s">
        <v>383</v>
      </c>
      <c r="D127" s="65" t="s">
        <v>384</v>
      </c>
      <c r="E127" s="66">
        <v>37577</v>
      </c>
      <c r="F127" s="67">
        <v>76</v>
      </c>
      <c r="G127" s="65" t="s">
        <v>215</v>
      </c>
      <c r="H127" s="65"/>
      <c r="I127" s="12">
        <f t="shared" si="1"/>
        <v>10126</v>
      </c>
    </row>
    <row r="128" spans="1:9">
      <c r="A128">
        <v>10127</v>
      </c>
      <c r="B128" s="65" t="s">
        <v>385</v>
      </c>
      <c r="C128" s="65" t="s">
        <v>199</v>
      </c>
      <c r="D128" s="65" t="s">
        <v>386</v>
      </c>
      <c r="E128" s="66">
        <v>35846</v>
      </c>
      <c r="F128" s="67">
        <v>76</v>
      </c>
      <c r="G128" s="65" t="s">
        <v>215</v>
      </c>
      <c r="H128" s="65"/>
      <c r="I128" s="12">
        <f t="shared" si="1"/>
        <v>10127</v>
      </c>
    </row>
    <row r="129" spans="1:9">
      <c r="A129">
        <v>10128</v>
      </c>
      <c r="B129" s="65" t="s">
        <v>387</v>
      </c>
      <c r="C129" s="65" t="s">
        <v>189</v>
      </c>
      <c r="D129" s="65" t="s">
        <v>388</v>
      </c>
      <c r="E129" s="66">
        <v>22788</v>
      </c>
      <c r="F129" s="67">
        <v>76</v>
      </c>
      <c r="G129" s="65" t="s">
        <v>215</v>
      </c>
      <c r="H129" s="65"/>
      <c r="I129" s="12">
        <f t="shared" si="1"/>
        <v>10128</v>
      </c>
    </row>
    <row r="130" spans="1:9">
      <c r="A130">
        <v>10129</v>
      </c>
      <c r="B130" s="65" t="s">
        <v>389</v>
      </c>
      <c r="C130" s="65" t="s">
        <v>115</v>
      </c>
      <c r="D130" s="65" t="s">
        <v>390</v>
      </c>
      <c r="E130" s="66">
        <v>34442</v>
      </c>
      <c r="F130" s="67">
        <v>76</v>
      </c>
      <c r="G130" s="65" t="s">
        <v>215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391</v>
      </c>
      <c r="C131" s="65" t="s">
        <v>392</v>
      </c>
      <c r="D131" s="65" t="s">
        <v>393</v>
      </c>
      <c r="E131" s="66">
        <v>27367</v>
      </c>
      <c r="F131" s="67">
        <v>100</v>
      </c>
      <c r="G131" s="65" t="s">
        <v>215</v>
      </c>
      <c r="H131" s="65"/>
      <c r="I131" s="12">
        <f t="shared" si="2"/>
        <v>10130</v>
      </c>
    </row>
    <row r="132" spans="1:9">
      <c r="A132">
        <v>10131</v>
      </c>
      <c r="B132" s="65" t="s">
        <v>394</v>
      </c>
      <c r="C132" s="65" t="s">
        <v>335</v>
      </c>
      <c r="D132" s="65" t="s">
        <v>395</v>
      </c>
      <c r="E132" s="66">
        <v>36569</v>
      </c>
      <c r="F132" s="67">
        <v>76</v>
      </c>
      <c r="G132" s="65" t="s">
        <v>215</v>
      </c>
      <c r="H132" s="65"/>
      <c r="I132" s="12">
        <f t="shared" si="2"/>
        <v>10131</v>
      </c>
    </row>
    <row r="133" spans="1:9">
      <c r="A133">
        <v>10132</v>
      </c>
      <c r="B133" s="65" t="s">
        <v>396</v>
      </c>
      <c r="C133" s="65" t="s">
        <v>397</v>
      </c>
      <c r="D133" s="65" t="s">
        <v>398</v>
      </c>
      <c r="E133" s="66">
        <v>39168</v>
      </c>
      <c r="F133" s="67">
        <v>76</v>
      </c>
      <c r="G133" s="65" t="s">
        <v>215</v>
      </c>
      <c r="H133" s="65"/>
      <c r="I133" s="12">
        <f t="shared" si="2"/>
        <v>10132</v>
      </c>
    </row>
    <row r="134" spans="1:9">
      <c r="A134">
        <v>10133</v>
      </c>
      <c r="B134" s="65" t="s">
        <v>399</v>
      </c>
      <c r="C134" s="65" t="s">
        <v>60</v>
      </c>
      <c r="D134" s="65" t="s">
        <v>400</v>
      </c>
      <c r="E134" s="66">
        <v>33225</v>
      </c>
      <c r="F134" s="67">
        <v>76</v>
      </c>
      <c r="G134" s="65" t="s">
        <v>215</v>
      </c>
      <c r="H134" s="65"/>
      <c r="I134" s="12">
        <f t="shared" si="2"/>
        <v>10133</v>
      </c>
    </row>
    <row r="135" spans="1:9">
      <c r="A135">
        <v>10134</v>
      </c>
      <c r="B135" s="65" t="s">
        <v>401</v>
      </c>
      <c r="C135" s="65" t="s">
        <v>402</v>
      </c>
      <c r="D135" s="65" t="s">
        <v>403</v>
      </c>
      <c r="E135" s="66">
        <v>36014</v>
      </c>
      <c r="F135" s="67">
        <v>76</v>
      </c>
      <c r="G135" s="65" t="s">
        <v>215</v>
      </c>
      <c r="H135" s="65"/>
      <c r="I135" s="12">
        <f t="shared" si="2"/>
        <v>10134</v>
      </c>
    </row>
    <row r="136" spans="1:9">
      <c r="A136">
        <v>10135</v>
      </c>
      <c r="B136" s="65" t="s">
        <v>404</v>
      </c>
      <c r="C136" s="65" t="s">
        <v>405</v>
      </c>
      <c r="D136" s="65" t="s">
        <v>406</v>
      </c>
      <c r="E136" s="66">
        <v>27035</v>
      </c>
      <c r="F136" s="67">
        <v>76</v>
      </c>
      <c r="G136" s="65" t="s">
        <v>215</v>
      </c>
      <c r="H136" s="65"/>
      <c r="I136" s="12">
        <f t="shared" si="2"/>
        <v>10135</v>
      </c>
    </row>
    <row r="137" spans="1:9">
      <c r="A137">
        <v>10136</v>
      </c>
      <c r="B137" s="65" t="s">
        <v>407</v>
      </c>
      <c r="C137" s="65" t="s">
        <v>408</v>
      </c>
      <c r="D137" s="65" t="s">
        <v>409</v>
      </c>
      <c r="E137" s="66">
        <v>34726</v>
      </c>
      <c r="F137" s="67">
        <v>76</v>
      </c>
      <c r="G137" s="65" t="s">
        <v>215</v>
      </c>
      <c r="H137" s="65"/>
      <c r="I137" s="12">
        <f t="shared" si="2"/>
        <v>10136</v>
      </c>
    </row>
    <row r="138" spans="1:9">
      <c r="A138">
        <v>10137</v>
      </c>
      <c r="B138" s="65" t="s">
        <v>410</v>
      </c>
      <c r="C138" s="65" t="s">
        <v>411</v>
      </c>
      <c r="D138" s="65" t="s">
        <v>412</v>
      </c>
      <c r="E138" s="66">
        <v>32442</v>
      </c>
      <c r="F138" s="67">
        <v>76</v>
      </c>
      <c r="G138" s="65" t="s">
        <v>215</v>
      </c>
      <c r="H138" s="65"/>
      <c r="I138" s="12">
        <f t="shared" si="2"/>
        <v>10137</v>
      </c>
    </row>
    <row r="139" spans="1:9">
      <c r="A139">
        <v>10138</v>
      </c>
      <c r="B139" s="65" t="s">
        <v>413</v>
      </c>
      <c r="C139" s="65" t="s">
        <v>414</v>
      </c>
      <c r="D139" s="65" t="s">
        <v>415</v>
      </c>
      <c r="E139" s="66">
        <v>38436</v>
      </c>
      <c r="F139" s="67">
        <v>48</v>
      </c>
      <c r="G139" s="65" t="s">
        <v>215</v>
      </c>
      <c r="H139" s="65"/>
      <c r="I139" s="12">
        <f t="shared" si="2"/>
        <v>10138</v>
      </c>
    </row>
    <row r="140" spans="1:9">
      <c r="A140">
        <v>10139</v>
      </c>
      <c r="B140" s="65" t="s">
        <v>416</v>
      </c>
      <c r="C140" s="65" t="s">
        <v>417</v>
      </c>
      <c r="D140" s="65" t="s">
        <v>418</v>
      </c>
      <c r="E140" s="66">
        <v>36790</v>
      </c>
      <c r="F140" s="67">
        <v>76</v>
      </c>
      <c r="G140" s="65" t="s">
        <v>215</v>
      </c>
      <c r="H140" s="65"/>
      <c r="I140" s="12">
        <f t="shared" si="2"/>
        <v>10139</v>
      </c>
    </row>
    <row r="141" spans="1:9">
      <c r="A141">
        <v>10140</v>
      </c>
      <c r="B141" s="65" t="s">
        <v>419</v>
      </c>
      <c r="C141" s="65" t="s">
        <v>420</v>
      </c>
      <c r="D141" s="65" t="s">
        <v>421</v>
      </c>
      <c r="E141" s="66">
        <v>31365</v>
      </c>
      <c r="F141" s="67">
        <v>76</v>
      </c>
      <c r="G141" s="65" t="s">
        <v>215</v>
      </c>
      <c r="H141" s="65"/>
      <c r="I141" s="12">
        <f t="shared" si="2"/>
        <v>10140</v>
      </c>
    </row>
    <row r="142" spans="1:9">
      <c r="A142">
        <v>10141</v>
      </c>
      <c r="B142" s="65" t="s">
        <v>422</v>
      </c>
      <c r="C142" s="65" t="s">
        <v>423</v>
      </c>
      <c r="D142" s="65" t="s">
        <v>424</v>
      </c>
      <c r="E142" s="66">
        <v>37864</v>
      </c>
      <c r="F142" s="67">
        <v>48</v>
      </c>
      <c r="G142" s="65" t="s">
        <v>215</v>
      </c>
      <c r="H142" s="65"/>
      <c r="I142" s="12">
        <f t="shared" si="2"/>
        <v>10141</v>
      </c>
    </row>
    <row r="143" spans="1:9">
      <c r="A143">
        <v>10142</v>
      </c>
      <c r="B143" s="65" t="s">
        <v>425</v>
      </c>
      <c r="C143" s="65" t="s">
        <v>426</v>
      </c>
      <c r="D143" s="65" t="s">
        <v>427</v>
      </c>
      <c r="E143" s="66">
        <v>38177</v>
      </c>
      <c r="F143" s="67">
        <v>76</v>
      </c>
      <c r="G143" s="65" t="s">
        <v>215</v>
      </c>
      <c r="H143" s="65"/>
      <c r="I143" s="12">
        <f t="shared" si="2"/>
        <v>10142</v>
      </c>
    </row>
    <row r="144" spans="1:9">
      <c r="A144">
        <v>10143</v>
      </c>
      <c r="B144" s="65" t="s">
        <v>428</v>
      </c>
      <c r="C144" s="65" t="s">
        <v>171</v>
      </c>
      <c r="D144" s="65" t="s">
        <v>429</v>
      </c>
      <c r="E144" s="66">
        <v>36625</v>
      </c>
      <c r="F144" s="67">
        <v>76</v>
      </c>
      <c r="G144" s="65" t="s">
        <v>215</v>
      </c>
      <c r="H144" s="65"/>
      <c r="I144" s="12">
        <f t="shared" si="2"/>
        <v>10143</v>
      </c>
    </row>
    <row r="145" spans="1:9">
      <c r="A145">
        <v>10144</v>
      </c>
      <c r="B145" s="65" t="s">
        <v>430</v>
      </c>
      <c r="C145" s="65" t="s">
        <v>431</v>
      </c>
      <c r="D145" s="65" t="s">
        <v>432</v>
      </c>
      <c r="E145" s="66">
        <v>37616</v>
      </c>
      <c r="F145" s="67">
        <v>76</v>
      </c>
      <c r="G145" s="65" t="s">
        <v>215</v>
      </c>
      <c r="H145" s="65"/>
      <c r="I145" s="12">
        <f t="shared" si="2"/>
        <v>10144</v>
      </c>
    </row>
    <row r="146" spans="1:9">
      <c r="A146">
        <v>10145</v>
      </c>
      <c r="B146" s="65" t="s">
        <v>433</v>
      </c>
      <c r="C146" s="65" t="s">
        <v>60</v>
      </c>
      <c r="D146" s="65" t="s">
        <v>434</v>
      </c>
      <c r="E146" s="66">
        <v>28047</v>
      </c>
      <c r="F146" s="67">
        <v>76</v>
      </c>
      <c r="G146" s="65" t="s">
        <v>215</v>
      </c>
      <c r="H146" s="65"/>
      <c r="I146" s="12">
        <f t="shared" si="2"/>
        <v>10145</v>
      </c>
    </row>
    <row r="147" spans="1:9">
      <c r="A147">
        <v>10146</v>
      </c>
      <c r="B147" s="65" t="s">
        <v>435</v>
      </c>
      <c r="C147" s="65" t="s">
        <v>96</v>
      </c>
      <c r="D147" s="65" t="s">
        <v>436</v>
      </c>
      <c r="E147" s="66">
        <v>33892</v>
      </c>
      <c r="F147" s="67">
        <v>76</v>
      </c>
      <c r="G147" s="65" t="s">
        <v>215</v>
      </c>
      <c r="H147" s="65"/>
      <c r="I147" s="12">
        <f t="shared" si="2"/>
        <v>10146</v>
      </c>
    </row>
    <row r="148" spans="1:9">
      <c r="A148">
        <v>10147</v>
      </c>
      <c r="B148" s="65" t="s">
        <v>437</v>
      </c>
      <c r="C148" s="65" t="s">
        <v>420</v>
      </c>
      <c r="D148" s="65" t="s">
        <v>438</v>
      </c>
      <c r="E148" s="66">
        <v>36932</v>
      </c>
      <c r="F148" s="67">
        <v>100</v>
      </c>
      <c r="G148" s="65" t="s">
        <v>215</v>
      </c>
      <c r="H148" s="65"/>
      <c r="I148" s="12">
        <f t="shared" si="2"/>
        <v>10147</v>
      </c>
    </row>
    <row r="149" spans="1:9">
      <c r="A149">
        <v>10148</v>
      </c>
      <c r="B149" s="65" t="s">
        <v>439</v>
      </c>
      <c r="C149" s="65" t="s">
        <v>440</v>
      </c>
      <c r="D149" s="65" t="s">
        <v>441</v>
      </c>
      <c r="E149" s="66">
        <v>36453</v>
      </c>
      <c r="F149" s="67">
        <v>76</v>
      </c>
      <c r="G149" s="65" t="s">
        <v>215</v>
      </c>
      <c r="H149" s="65" t="s">
        <v>55</v>
      </c>
      <c r="I149" s="12">
        <f t="shared" si="2"/>
        <v>10148</v>
      </c>
    </row>
    <row r="150" spans="1:9">
      <c r="A150">
        <v>10149</v>
      </c>
      <c r="B150" s="65" t="s">
        <v>442</v>
      </c>
      <c r="C150" s="65" t="s">
        <v>443</v>
      </c>
      <c r="D150" s="65" t="s">
        <v>444</v>
      </c>
      <c r="E150" s="66">
        <v>35642</v>
      </c>
      <c r="F150" s="67">
        <v>76</v>
      </c>
      <c r="G150" s="65" t="s">
        <v>215</v>
      </c>
      <c r="H150" s="65"/>
      <c r="I150" s="12">
        <f t="shared" si="2"/>
        <v>10149</v>
      </c>
    </row>
    <row r="151" spans="1:9">
      <c r="A151">
        <v>10150</v>
      </c>
      <c r="B151" s="65" t="s">
        <v>445</v>
      </c>
      <c r="C151" s="65" t="s">
        <v>446</v>
      </c>
      <c r="D151" s="65" t="s">
        <v>447</v>
      </c>
      <c r="E151" s="66">
        <v>33094</v>
      </c>
      <c r="F151" s="67">
        <v>76</v>
      </c>
      <c r="G151" s="65" t="s">
        <v>215</v>
      </c>
      <c r="H151" s="65"/>
      <c r="I151" s="12">
        <f t="shared" si="2"/>
        <v>10150</v>
      </c>
    </row>
    <row r="152" spans="1:9">
      <c r="A152">
        <v>10151</v>
      </c>
      <c r="B152" s="65" t="s">
        <v>448</v>
      </c>
      <c r="C152" s="65" t="s">
        <v>449</v>
      </c>
      <c r="D152" s="65" t="s">
        <v>450</v>
      </c>
      <c r="E152" s="66">
        <v>36756</v>
      </c>
      <c r="F152" s="67">
        <v>76</v>
      </c>
      <c r="G152" s="65" t="s">
        <v>215</v>
      </c>
      <c r="H152" s="65"/>
      <c r="I152" s="12">
        <f t="shared" si="2"/>
        <v>10151</v>
      </c>
    </row>
    <row r="153" spans="1:9">
      <c r="A153">
        <v>10152</v>
      </c>
      <c r="B153" s="65" t="s">
        <v>451</v>
      </c>
      <c r="C153" s="65" t="s">
        <v>73</v>
      </c>
      <c r="D153" s="65" t="s">
        <v>452</v>
      </c>
      <c r="E153" s="66">
        <v>37203</v>
      </c>
      <c r="F153" s="67">
        <v>76</v>
      </c>
      <c r="G153" s="65" t="s">
        <v>215</v>
      </c>
      <c r="H153" s="65"/>
      <c r="I153" s="12">
        <f t="shared" si="2"/>
        <v>10152</v>
      </c>
    </row>
    <row r="154" spans="1:9">
      <c r="A154">
        <v>10153</v>
      </c>
      <c r="B154" s="65" t="s">
        <v>453</v>
      </c>
      <c r="C154" s="65" t="s">
        <v>454</v>
      </c>
      <c r="D154" s="65" t="s">
        <v>455</v>
      </c>
      <c r="E154" s="69" t="s">
        <v>456</v>
      </c>
      <c r="F154" s="67">
        <v>76</v>
      </c>
      <c r="G154" s="65" t="s">
        <v>215</v>
      </c>
      <c r="H154" s="65"/>
      <c r="I154" s="12">
        <f t="shared" si="2"/>
        <v>10153</v>
      </c>
    </row>
    <row r="155" spans="1:9">
      <c r="A155">
        <v>10154</v>
      </c>
      <c r="B155" s="65" t="s">
        <v>457</v>
      </c>
      <c r="C155" s="65" t="s">
        <v>458</v>
      </c>
      <c r="D155" s="65" t="s">
        <v>459</v>
      </c>
      <c r="E155" s="66">
        <v>36809</v>
      </c>
      <c r="F155" s="67">
        <v>200</v>
      </c>
      <c r="G155" s="65" t="s">
        <v>215</v>
      </c>
      <c r="H155" s="65"/>
      <c r="I155" s="12">
        <f t="shared" si="2"/>
        <v>10154</v>
      </c>
    </row>
    <row r="156" spans="1:9">
      <c r="A156">
        <v>10155</v>
      </c>
      <c r="B156" s="65" t="s">
        <v>460</v>
      </c>
      <c r="C156" s="65" t="s">
        <v>88</v>
      </c>
      <c r="D156" s="65" t="s">
        <v>461</v>
      </c>
      <c r="E156" s="66">
        <v>35234</v>
      </c>
      <c r="F156" s="67">
        <v>76</v>
      </c>
      <c r="G156" s="65" t="s">
        <v>71</v>
      </c>
      <c r="H156" s="65" t="s">
        <v>55</v>
      </c>
      <c r="I156" s="12">
        <f t="shared" si="2"/>
        <v>10155</v>
      </c>
    </row>
    <row r="157" spans="1:9">
      <c r="A157">
        <v>10156</v>
      </c>
      <c r="B157" s="39" t="s">
        <v>462</v>
      </c>
      <c r="C157" s="39" t="s">
        <v>463</v>
      </c>
      <c r="D157" s="65" t="s">
        <v>464</v>
      </c>
      <c r="E157" s="66">
        <v>34555</v>
      </c>
      <c r="F157" s="32">
        <v>4880</v>
      </c>
      <c r="G157" s="39" t="s">
        <v>465</v>
      </c>
      <c r="H157" s="39"/>
      <c r="I157" s="12">
        <f t="shared" si="2"/>
        <v>10156</v>
      </c>
    </row>
    <row r="158" spans="1:9">
      <c r="A158">
        <v>10157</v>
      </c>
      <c r="B158" s="65" t="s">
        <v>466</v>
      </c>
      <c r="C158" s="65" t="s">
        <v>467</v>
      </c>
      <c r="D158" s="65" t="s">
        <v>468</v>
      </c>
      <c r="E158" s="66">
        <v>34427</v>
      </c>
      <c r="F158" s="32">
        <v>76</v>
      </c>
      <c r="G158" s="39" t="s">
        <v>465</v>
      </c>
      <c r="H158" s="39"/>
      <c r="I158" s="12">
        <f t="shared" si="2"/>
        <v>10157</v>
      </c>
    </row>
    <row r="159" spans="1:9">
      <c r="A159">
        <v>10158</v>
      </c>
      <c r="B159" s="39" t="s">
        <v>469</v>
      </c>
      <c r="C159" s="65" t="s">
        <v>470</v>
      </c>
      <c r="D159" s="65" t="s">
        <v>471</v>
      </c>
      <c r="E159" s="66">
        <v>32933</v>
      </c>
      <c r="F159" s="32">
        <v>76</v>
      </c>
      <c r="G159" s="39" t="s">
        <v>465</v>
      </c>
      <c r="H159" s="39"/>
      <c r="I159" s="12">
        <f t="shared" si="2"/>
        <v>10158</v>
      </c>
    </row>
    <row r="160" spans="1:9">
      <c r="A160">
        <v>10159</v>
      </c>
      <c r="B160" s="39" t="s">
        <v>472</v>
      </c>
      <c r="C160" s="39" t="s">
        <v>473</v>
      </c>
      <c r="D160" s="65" t="s">
        <v>474</v>
      </c>
      <c r="E160" s="66">
        <v>37096</v>
      </c>
      <c r="F160" s="32">
        <v>48</v>
      </c>
      <c r="G160" s="39" t="s">
        <v>475</v>
      </c>
      <c r="H160" s="39"/>
      <c r="I160" s="12">
        <f t="shared" si="2"/>
        <v>10159</v>
      </c>
    </row>
    <row r="161" spans="1:9">
      <c r="A161">
        <v>10160</v>
      </c>
      <c r="B161" s="39" t="s">
        <v>476</v>
      </c>
      <c r="C161" s="39" t="s">
        <v>477</v>
      </c>
      <c r="D161" s="65" t="s">
        <v>478</v>
      </c>
      <c r="E161" s="66">
        <v>36402</v>
      </c>
      <c r="F161" s="32">
        <v>76</v>
      </c>
      <c r="G161" s="39" t="s">
        <v>475</v>
      </c>
      <c r="H161" s="39"/>
      <c r="I161" s="12">
        <f t="shared" si="2"/>
        <v>10160</v>
      </c>
    </row>
    <row r="162" spans="1:9">
      <c r="A162">
        <v>10161</v>
      </c>
      <c r="B162" s="39" t="s">
        <v>479</v>
      </c>
      <c r="C162" s="39" t="s">
        <v>467</v>
      </c>
      <c r="D162" s="65" t="s">
        <v>480</v>
      </c>
      <c r="E162" s="66">
        <v>37115</v>
      </c>
      <c r="F162" s="32">
        <v>76</v>
      </c>
      <c r="G162" s="39" t="s">
        <v>475</v>
      </c>
      <c r="H162" s="39"/>
      <c r="I162" s="12">
        <f t="shared" si="2"/>
        <v>10161</v>
      </c>
    </row>
    <row r="163" spans="1:9">
      <c r="A163">
        <v>10162</v>
      </c>
      <c r="B163" s="39" t="s">
        <v>481</v>
      </c>
      <c r="C163" s="39" t="s">
        <v>482</v>
      </c>
      <c r="D163" s="65" t="s">
        <v>483</v>
      </c>
      <c r="E163" s="66">
        <v>36157</v>
      </c>
      <c r="F163" s="32">
        <v>76</v>
      </c>
      <c r="G163" s="39" t="s">
        <v>475</v>
      </c>
      <c r="H163" s="39"/>
      <c r="I163" s="12">
        <f t="shared" si="2"/>
        <v>10162</v>
      </c>
    </row>
    <row r="164" spans="1:9">
      <c r="A164">
        <v>10163</v>
      </c>
      <c r="B164" s="39" t="s">
        <v>484</v>
      </c>
      <c r="C164" s="39" t="s">
        <v>485</v>
      </c>
      <c r="D164" s="65" t="s">
        <v>486</v>
      </c>
      <c r="E164" s="66">
        <v>35172</v>
      </c>
      <c r="F164" s="32">
        <v>48</v>
      </c>
      <c r="G164" s="39" t="s">
        <v>465</v>
      </c>
      <c r="H164" s="39"/>
      <c r="I164" s="12">
        <f t="shared" si="2"/>
        <v>10163</v>
      </c>
    </row>
    <row r="165" spans="1:9">
      <c r="A165">
        <v>10164</v>
      </c>
      <c r="B165" s="39" t="s">
        <v>487</v>
      </c>
      <c r="C165" s="39" t="s">
        <v>477</v>
      </c>
      <c r="D165" s="65" t="s">
        <v>488</v>
      </c>
      <c r="E165" s="66">
        <v>35866</v>
      </c>
      <c r="F165" s="32">
        <v>76</v>
      </c>
      <c r="G165" s="39" t="s">
        <v>475</v>
      </c>
      <c r="H165" s="39"/>
      <c r="I165" s="12">
        <f t="shared" si="2"/>
        <v>10164</v>
      </c>
    </row>
    <row r="166" spans="1:9">
      <c r="A166">
        <v>10165</v>
      </c>
      <c r="B166" s="39" t="s">
        <v>489</v>
      </c>
      <c r="C166" s="39" t="s">
        <v>490</v>
      </c>
      <c r="D166" s="65" t="s">
        <v>491</v>
      </c>
      <c r="E166" s="66">
        <v>35618</v>
      </c>
      <c r="F166" s="32">
        <v>76</v>
      </c>
      <c r="G166" s="39" t="s">
        <v>475</v>
      </c>
      <c r="H166" s="39"/>
      <c r="I166" s="12">
        <f t="shared" si="2"/>
        <v>10165</v>
      </c>
    </row>
    <row r="167" spans="1:9">
      <c r="A167">
        <v>10166</v>
      </c>
      <c r="B167" s="39" t="s">
        <v>492</v>
      </c>
      <c r="C167" s="39" t="s">
        <v>493</v>
      </c>
      <c r="D167" s="65" t="s">
        <v>494</v>
      </c>
      <c r="E167" s="66">
        <v>27005</v>
      </c>
      <c r="F167" s="32">
        <v>76</v>
      </c>
      <c r="G167" s="39" t="s">
        <v>465</v>
      </c>
      <c r="H167" s="39"/>
      <c r="I167" s="12">
        <f t="shared" si="2"/>
        <v>10166</v>
      </c>
    </row>
    <row r="168" spans="1:9">
      <c r="A168">
        <v>10167</v>
      </c>
      <c r="B168" s="39" t="s">
        <v>495</v>
      </c>
      <c r="C168" s="39" t="s">
        <v>496</v>
      </c>
      <c r="D168" s="65" t="s">
        <v>497</v>
      </c>
      <c r="E168" s="66">
        <v>38228</v>
      </c>
      <c r="F168" s="32">
        <v>76</v>
      </c>
      <c r="G168" s="39" t="s">
        <v>465</v>
      </c>
      <c r="H168" s="39"/>
      <c r="I168" s="12">
        <f t="shared" si="2"/>
        <v>10167</v>
      </c>
    </row>
    <row r="169" spans="1:9">
      <c r="A169">
        <v>210168</v>
      </c>
      <c r="B169" s="39" t="s">
        <v>498</v>
      </c>
      <c r="C169" s="39" t="s">
        <v>499</v>
      </c>
      <c r="D169" s="65" t="s">
        <v>500</v>
      </c>
      <c r="E169" s="66">
        <v>39141</v>
      </c>
      <c r="F169" s="32">
        <v>76</v>
      </c>
      <c r="G169" s="39" t="s">
        <v>215</v>
      </c>
      <c r="H169" s="39"/>
      <c r="I169" s="12">
        <f t="shared" si="2"/>
        <v>210168</v>
      </c>
    </row>
    <row r="170" spans="1:9">
      <c r="A170">
        <v>10169</v>
      </c>
      <c r="B170" s="39" t="s">
        <v>501</v>
      </c>
      <c r="C170" s="39" t="s">
        <v>502</v>
      </c>
      <c r="D170" s="65" t="s">
        <v>503</v>
      </c>
      <c r="E170" s="66">
        <v>28521</v>
      </c>
      <c r="F170" s="32">
        <v>76</v>
      </c>
      <c r="G170" s="39" t="s">
        <v>215</v>
      </c>
      <c r="H170" s="39"/>
      <c r="I170" s="12">
        <f t="shared" si="2"/>
        <v>10169</v>
      </c>
    </row>
    <row r="171" spans="1:9">
      <c r="A171">
        <v>10170</v>
      </c>
      <c r="B171" s="39" t="s">
        <v>504</v>
      </c>
      <c r="C171" s="39" t="s">
        <v>505</v>
      </c>
      <c r="D171" s="65" t="s">
        <v>506</v>
      </c>
      <c r="E171" s="66">
        <v>37012</v>
      </c>
      <c r="F171" s="32">
        <v>76</v>
      </c>
      <c r="G171" s="39" t="s">
        <v>54</v>
      </c>
      <c r="H171" s="39"/>
      <c r="I171" s="12">
        <f t="shared" si="2"/>
        <v>10170</v>
      </c>
    </row>
    <row r="172" spans="1:9">
      <c r="A172">
        <v>10171</v>
      </c>
      <c r="B172" s="39" t="s">
        <v>507</v>
      </c>
      <c r="C172" s="39" t="s">
        <v>508</v>
      </c>
      <c r="D172" s="65" t="s">
        <v>509</v>
      </c>
      <c r="E172" s="66">
        <v>36922</v>
      </c>
      <c r="F172" s="32">
        <v>76</v>
      </c>
      <c r="G172" s="39" t="s">
        <v>71</v>
      </c>
      <c r="H172" s="39"/>
      <c r="I172" s="12">
        <f t="shared" si="2"/>
        <v>10171</v>
      </c>
    </row>
    <row r="173" spans="1:9">
      <c r="A173">
        <v>10172</v>
      </c>
      <c r="B173" s="39" t="s">
        <v>510</v>
      </c>
      <c r="C173" s="39" t="s">
        <v>88</v>
      </c>
      <c r="D173" s="65" t="s">
        <v>511</v>
      </c>
      <c r="E173" s="66">
        <v>36657</v>
      </c>
      <c r="F173" s="32">
        <v>76</v>
      </c>
      <c r="G173" s="39" t="s">
        <v>215</v>
      </c>
      <c r="H173" s="39"/>
      <c r="I173" s="12">
        <f t="shared" si="2"/>
        <v>10172</v>
      </c>
    </row>
    <row r="174" spans="1:9">
      <c r="A174">
        <v>10173</v>
      </c>
      <c r="B174" s="39" t="s">
        <v>512</v>
      </c>
      <c r="C174" s="39" t="s">
        <v>513</v>
      </c>
      <c r="D174" s="65" t="s">
        <v>514</v>
      </c>
      <c r="E174" s="66">
        <v>36877</v>
      </c>
      <c r="F174" s="32">
        <v>76</v>
      </c>
      <c r="G174" s="39" t="s">
        <v>54</v>
      </c>
      <c r="H174" s="39"/>
      <c r="I174" s="12">
        <f t="shared" si="2"/>
        <v>10173</v>
      </c>
    </row>
    <row r="175" spans="1:9">
      <c r="A175">
        <v>10174</v>
      </c>
      <c r="B175" s="39" t="s">
        <v>515</v>
      </c>
      <c r="C175" s="39" t="s">
        <v>516</v>
      </c>
      <c r="D175" s="65" t="s">
        <v>517</v>
      </c>
      <c r="E175" s="66">
        <v>37977</v>
      </c>
      <c r="F175" s="32">
        <v>76</v>
      </c>
      <c r="G175" s="39" t="s">
        <v>54</v>
      </c>
      <c r="H175" s="39"/>
      <c r="I175" s="12">
        <f t="shared" si="2"/>
        <v>10174</v>
      </c>
    </row>
    <row r="176" spans="1:9">
      <c r="A176">
        <v>10175</v>
      </c>
      <c r="B176" s="39" t="s">
        <v>518</v>
      </c>
      <c r="C176" s="39" t="s">
        <v>519</v>
      </c>
      <c r="D176" s="65" t="s">
        <v>520</v>
      </c>
      <c r="E176" s="66">
        <v>34558</v>
      </c>
      <c r="F176" s="32">
        <v>48</v>
      </c>
      <c r="G176" s="39" t="s">
        <v>54</v>
      </c>
      <c r="H176" s="39"/>
      <c r="I176" s="12">
        <f t="shared" si="2"/>
        <v>10175</v>
      </c>
    </row>
    <row r="177" spans="1:9">
      <c r="A177" s="2">
        <v>10176</v>
      </c>
      <c r="B177" s="39" t="s">
        <v>521</v>
      </c>
      <c r="C177" s="39" t="s">
        <v>522</v>
      </c>
      <c r="D177" s="65" t="s">
        <v>523</v>
      </c>
      <c r="E177" s="66">
        <v>37710</v>
      </c>
      <c r="F177" s="32">
        <v>76</v>
      </c>
      <c r="G177" s="39" t="s">
        <v>215</v>
      </c>
      <c r="H177" s="39" t="s">
        <v>55</v>
      </c>
      <c r="I177" s="12">
        <f t="shared" si="2"/>
        <v>10176</v>
      </c>
    </row>
    <row r="178" spans="1:9">
      <c r="A178" s="2">
        <v>210177</v>
      </c>
      <c r="B178" s="39" t="s">
        <v>524</v>
      </c>
      <c r="C178" s="39" t="s">
        <v>171</v>
      </c>
      <c r="D178" s="65" t="s">
        <v>525</v>
      </c>
      <c r="E178" s="66">
        <v>39319</v>
      </c>
      <c r="F178" s="32">
        <v>76</v>
      </c>
      <c r="G178" s="39" t="s">
        <v>215</v>
      </c>
      <c r="H178" s="39"/>
      <c r="I178" s="12">
        <f t="shared" si="2"/>
        <v>210177</v>
      </c>
    </row>
    <row r="179" spans="1:9">
      <c r="A179">
        <v>10178</v>
      </c>
      <c r="B179" s="39" t="s">
        <v>526</v>
      </c>
      <c r="C179" s="39" t="s">
        <v>171</v>
      </c>
      <c r="D179" s="65" t="s">
        <v>527</v>
      </c>
      <c r="E179" s="66">
        <v>37887</v>
      </c>
      <c r="F179" s="32">
        <v>76</v>
      </c>
      <c r="G179" s="39" t="s">
        <v>54</v>
      </c>
      <c r="H179" s="39"/>
      <c r="I179" s="12">
        <f t="shared" si="2"/>
        <v>10178</v>
      </c>
    </row>
    <row r="180" spans="1:9">
      <c r="A180">
        <v>10179</v>
      </c>
      <c r="B180" s="39" t="s">
        <v>528</v>
      </c>
      <c r="C180" s="39" t="s">
        <v>529</v>
      </c>
      <c r="D180" s="65" t="s">
        <v>530</v>
      </c>
      <c r="E180" s="66">
        <v>37426</v>
      </c>
      <c r="F180" s="32">
        <v>76</v>
      </c>
      <c r="G180" s="39" t="s">
        <v>54</v>
      </c>
      <c r="H180" s="39"/>
      <c r="I180" s="12">
        <f t="shared" si="2"/>
        <v>10179</v>
      </c>
    </row>
    <row r="181" spans="1:9">
      <c r="A181">
        <v>10180</v>
      </c>
      <c r="B181" s="39" t="s">
        <v>531</v>
      </c>
      <c r="C181" s="39" t="s">
        <v>532</v>
      </c>
      <c r="D181" s="65" t="s">
        <v>533</v>
      </c>
      <c r="E181" s="66">
        <v>36339</v>
      </c>
      <c r="F181" s="32">
        <v>4880</v>
      </c>
      <c r="G181" s="39" t="s">
        <v>54</v>
      </c>
      <c r="H181" s="39"/>
      <c r="I181" s="12">
        <f t="shared" si="2"/>
        <v>10180</v>
      </c>
    </row>
    <row r="182" spans="1:9">
      <c r="A182">
        <v>10181</v>
      </c>
      <c r="B182" s="39" t="s">
        <v>534</v>
      </c>
      <c r="C182" s="39" t="s">
        <v>440</v>
      </c>
      <c r="D182" s="65" t="s">
        <v>535</v>
      </c>
      <c r="E182" s="66">
        <v>35083</v>
      </c>
      <c r="F182" s="32">
        <v>76</v>
      </c>
      <c r="G182" s="39" t="s">
        <v>215</v>
      </c>
      <c r="H182" s="39"/>
      <c r="I182" s="12">
        <f t="shared" si="2"/>
        <v>10181</v>
      </c>
    </row>
    <row r="183" spans="1:9">
      <c r="A183">
        <v>10182</v>
      </c>
      <c r="B183" s="39" t="s">
        <v>536</v>
      </c>
      <c r="C183" s="39" t="s">
        <v>537</v>
      </c>
      <c r="D183" s="65" t="s">
        <v>538</v>
      </c>
      <c r="E183" s="66">
        <v>35151</v>
      </c>
      <c r="F183" s="32">
        <v>76</v>
      </c>
      <c r="G183" s="39" t="s">
        <v>215</v>
      </c>
      <c r="H183" s="39"/>
      <c r="I183" s="12">
        <f t="shared" si="2"/>
        <v>10182</v>
      </c>
    </row>
    <row r="184" spans="1:9">
      <c r="A184" s="2">
        <v>210183</v>
      </c>
      <c r="B184" s="39" t="s">
        <v>539</v>
      </c>
      <c r="C184" s="39" t="s">
        <v>540</v>
      </c>
      <c r="D184" s="65" t="s">
        <v>541</v>
      </c>
      <c r="E184" s="66">
        <v>39260</v>
      </c>
      <c r="F184" s="32">
        <v>76</v>
      </c>
      <c r="G184" s="39" t="s">
        <v>215</v>
      </c>
      <c r="H184" s="39"/>
      <c r="I184" s="12">
        <f t="shared" si="2"/>
        <v>210183</v>
      </c>
    </row>
    <row r="185" spans="1:9">
      <c r="A185" s="2">
        <v>210184</v>
      </c>
      <c r="B185" s="39" t="s">
        <v>542</v>
      </c>
      <c r="C185" s="39" t="s">
        <v>543</v>
      </c>
      <c r="D185" s="65" t="s">
        <v>544</v>
      </c>
      <c r="E185" s="66">
        <v>39072</v>
      </c>
      <c r="F185" s="32">
        <v>76</v>
      </c>
      <c r="G185" s="39" t="s">
        <v>215</v>
      </c>
      <c r="H185" s="39"/>
      <c r="I185" s="12">
        <f t="shared" si="2"/>
        <v>210184</v>
      </c>
    </row>
    <row r="186" spans="1:9">
      <c r="A186" s="2">
        <v>10185</v>
      </c>
      <c r="B186" s="39" t="s">
        <v>545</v>
      </c>
      <c r="C186" s="39" t="s">
        <v>546</v>
      </c>
      <c r="D186" s="65" t="s">
        <v>547</v>
      </c>
      <c r="E186" s="66">
        <v>36488</v>
      </c>
      <c r="F186" s="32">
        <v>48</v>
      </c>
      <c r="G186" s="39" t="s">
        <v>215</v>
      </c>
      <c r="H186" s="39"/>
      <c r="I186" s="12">
        <f t="shared" si="2"/>
        <v>10185</v>
      </c>
    </row>
    <row r="187" spans="1:9">
      <c r="A187" s="2">
        <v>210186</v>
      </c>
      <c r="B187" s="39" t="s">
        <v>548</v>
      </c>
      <c r="C187" s="39" t="s">
        <v>549</v>
      </c>
      <c r="D187" s="65" t="s">
        <v>550</v>
      </c>
      <c r="E187" s="66">
        <v>39124</v>
      </c>
      <c r="F187" s="32">
        <v>76</v>
      </c>
      <c r="G187" s="39" t="s">
        <v>215</v>
      </c>
      <c r="H187" s="39"/>
      <c r="I187" s="12">
        <f t="shared" si="2"/>
        <v>210186</v>
      </c>
    </row>
    <row r="188" spans="1:9">
      <c r="A188" s="2">
        <v>10187</v>
      </c>
      <c r="B188" s="39" t="s">
        <v>551</v>
      </c>
      <c r="C188" s="39" t="s">
        <v>552</v>
      </c>
      <c r="D188" s="65" t="s">
        <v>553</v>
      </c>
      <c r="E188" s="66">
        <v>37836</v>
      </c>
      <c r="F188" s="32">
        <v>76</v>
      </c>
      <c r="G188" s="39" t="s">
        <v>54</v>
      </c>
      <c r="H188" s="39"/>
      <c r="I188" s="12">
        <f t="shared" si="2"/>
        <v>10187</v>
      </c>
    </row>
    <row r="189" spans="1:9">
      <c r="A189" s="2">
        <v>10188</v>
      </c>
      <c r="B189" s="39" t="s">
        <v>87</v>
      </c>
      <c r="C189" s="39" t="s">
        <v>554</v>
      </c>
      <c r="D189" s="65" t="s">
        <v>555</v>
      </c>
      <c r="E189" s="66">
        <v>37835</v>
      </c>
      <c r="F189" s="32">
        <v>48</v>
      </c>
      <c r="G189" s="39" t="s">
        <v>54</v>
      </c>
      <c r="H189" s="39"/>
      <c r="I189" s="12">
        <f t="shared" si="2"/>
        <v>10188</v>
      </c>
    </row>
    <row r="190" spans="1:9">
      <c r="A190" s="2">
        <v>10189</v>
      </c>
      <c r="B190" s="39" t="s">
        <v>556</v>
      </c>
      <c r="C190" s="39" t="s">
        <v>392</v>
      </c>
      <c r="D190" s="65" t="s">
        <v>557</v>
      </c>
      <c r="E190" s="66">
        <v>29643</v>
      </c>
      <c r="F190" s="32">
        <v>76</v>
      </c>
      <c r="G190" s="39" t="s">
        <v>215</v>
      </c>
      <c r="H190" s="39"/>
      <c r="I190" s="12">
        <f t="shared" si="2"/>
        <v>10189</v>
      </c>
    </row>
    <row r="191" spans="1:9">
      <c r="A191" s="2">
        <v>10190</v>
      </c>
      <c r="B191" s="39" t="s">
        <v>558</v>
      </c>
      <c r="C191" s="39" t="s">
        <v>559</v>
      </c>
      <c r="D191" s="65" t="s">
        <v>560</v>
      </c>
      <c r="E191" s="66">
        <v>34706</v>
      </c>
      <c r="F191" s="32">
        <v>76</v>
      </c>
      <c r="G191" s="39" t="s">
        <v>54</v>
      </c>
      <c r="H191" s="39"/>
      <c r="I191" s="12">
        <f t="shared" si="2"/>
        <v>10190</v>
      </c>
    </row>
    <row r="192" spans="1:9">
      <c r="A192" s="2">
        <v>10191</v>
      </c>
      <c r="B192" s="39" t="s">
        <v>561</v>
      </c>
      <c r="C192" s="39" t="s">
        <v>115</v>
      </c>
      <c r="D192" s="65" t="s">
        <v>562</v>
      </c>
      <c r="E192" s="66">
        <v>37721</v>
      </c>
      <c r="F192" s="32">
        <v>76</v>
      </c>
      <c r="G192" s="39" t="s">
        <v>54</v>
      </c>
      <c r="H192" s="39"/>
      <c r="I192" s="12">
        <f t="shared" si="2"/>
        <v>10191</v>
      </c>
    </row>
    <row r="193" spans="1:9">
      <c r="A193" s="2">
        <v>10192</v>
      </c>
      <c r="B193" s="39" t="s">
        <v>563</v>
      </c>
      <c r="C193" s="39" t="s">
        <v>564</v>
      </c>
      <c r="D193" s="65" t="s">
        <v>565</v>
      </c>
      <c r="E193" s="66">
        <v>37876</v>
      </c>
      <c r="F193" s="32">
        <v>76</v>
      </c>
      <c r="G193" s="39" t="s">
        <v>215</v>
      </c>
      <c r="H193" s="39"/>
      <c r="I193" s="12">
        <f t="shared" si="2"/>
        <v>10192</v>
      </c>
    </row>
    <row r="194" spans="1:9">
      <c r="A194" s="2">
        <v>210193</v>
      </c>
      <c r="B194" s="39" t="s">
        <v>566</v>
      </c>
      <c r="C194" s="39" t="s">
        <v>567</v>
      </c>
      <c r="D194" s="65" t="s">
        <v>568</v>
      </c>
      <c r="E194" s="66">
        <v>38782</v>
      </c>
      <c r="F194" s="32">
        <v>76</v>
      </c>
      <c r="G194" s="39" t="s">
        <v>215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569</v>
      </c>
      <c r="C195" s="39" t="s">
        <v>570</v>
      </c>
      <c r="D195" s="65" t="s">
        <v>571</v>
      </c>
      <c r="E195" s="66">
        <v>32465</v>
      </c>
      <c r="F195" s="32">
        <v>76</v>
      </c>
      <c r="G195" s="39" t="s">
        <v>215</v>
      </c>
      <c r="H195" s="39"/>
      <c r="I195" s="12">
        <f t="shared" si="3"/>
        <v>10194</v>
      </c>
    </row>
    <row r="196" spans="1:9">
      <c r="A196" s="2">
        <v>10195</v>
      </c>
      <c r="B196" s="39" t="s">
        <v>572</v>
      </c>
      <c r="C196" s="39" t="s">
        <v>573</v>
      </c>
      <c r="D196" s="65" t="s">
        <v>574</v>
      </c>
      <c r="E196" s="66">
        <v>34596</v>
      </c>
      <c r="F196" s="32">
        <v>76</v>
      </c>
      <c r="G196" s="39" t="s">
        <v>215</v>
      </c>
      <c r="H196" s="39"/>
      <c r="I196" s="12">
        <f t="shared" si="3"/>
        <v>10195</v>
      </c>
    </row>
    <row r="197" spans="1:9">
      <c r="A197" s="2">
        <v>10196</v>
      </c>
      <c r="B197" s="39" t="s">
        <v>109</v>
      </c>
      <c r="C197" s="39" t="s">
        <v>207</v>
      </c>
      <c r="D197" s="65" t="s">
        <v>575</v>
      </c>
      <c r="E197" s="66">
        <v>36441</v>
      </c>
      <c r="F197" s="32">
        <v>48</v>
      </c>
      <c r="G197" s="39" t="s">
        <v>215</v>
      </c>
      <c r="H197" s="39"/>
      <c r="I197" s="12">
        <f t="shared" si="3"/>
        <v>10196</v>
      </c>
    </row>
    <row r="198" spans="1:9">
      <c r="A198" s="2">
        <v>210197</v>
      </c>
      <c r="B198" s="39" t="s">
        <v>576</v>
      </c>
      <c r="C198" s="39" t="s">
        <v>52</v>
      </c>
      <c r="D198" s="65" t="s">
        <v>577</v>
      </c>
      <c r="E198" s="66">
        <v>39196</v>
      </c>
      <c r="F198" s="32">
        <v>76</v>
      </c>
      <c r="G198" s="39" t="s">
        <v>215</v>
      </c>
      <c r="H198" s="39"/>
      <c r="I198" s="12">
        <f t="shared" si="3"/>
        <v>210197</v>
      </c>
    </row>
    <row r="199" spans="1:9">
      <c r="A199" s="2">
        <v>10198</v>
      </c>
      <c r="B199" s="39" t="s">
        <v>578</v>
      </c>
      <c r="C199" s="39" t="s">
        <v>189</v>
      </c>
      <c r="D199" s="65" t="s">
        <v>579</v>
      </c>
      <c r="E199" s="66">
        <v>38050</v>
      </c>
      <c r="F199" s="32">
        <v>76</v>
      </c>
      <c r="G199" s="39" t="s">
        <v>215</v>
      </c>
      <c r="H199" s="39"/>
      <c r="I199" s="12">
        <f t="shared" si="3"/>
        <v>10198</v>
      </c>
    </row>
    <row r="200" spans="1:9">
      <c r="A200" s="2">
        <v>210199</v>
      </c>
      <c r="B200" s="39" t="s">
        <v>580</v>
      </c>
      <c r="C200" s="39" t="s">
        <v>581</v>
      </c>
      <c r="D200" s="65" t="s">
        <v>582</v>
      </c>
      <c r="E200" s="66">
        <v>39310</v>
      </c>
      <c r="F200" s="32">
        <v>76</v>
      </c>
      <c r="G200" s="39" t="s">
        <v>215</v>
      </c>
      <c r="H200" s="39"/>
      <c r="I200" s="12">
        <f t="shared" si="3"/>
        <v>210199</v>
      </c>
    </row>
    <row r="201" spans="1:9">
      <c r="A201" s="2">
        <v>210200</v>
      </c>
      <c r="B201" s="39" t="s">
        <v>583</v>
      </c>
      <c r="C201" s="39" t="s">
        <v>584</v>
      </c>
      <c r="D201" s="65" t="s">
        <v>585</v>
      </c>
      <c r="E201" s="66">
        <v>38937</v>
      </c>
      <c r="F201" s="32">
        <v>76</v>
      </c>
      <c r="G201" s="39" t="s">
        <v>71</v>
      </c>
      <c r="H201" s="39"/>
      <c r="I201" s="12">
        <f t="shared" si="3"/>
        <v>210200</v>
      </c>
    </row>
    <row r="202" spans="1:9">
      <c r="A202" s="2">
        <v>210201</v>
      </c>
      <c r="B202" s="39" t="s">
        <v>586</v>
      </c>
      <c r="C202" s="39" t="s">
        <v>323</v>
      </c>
      <c r="D202" s="65" t="s">
        <v>587</v>
      </c>
      <c r="E202" s="66">
        <v>38884</v>
      </c>
      <c r="F202" s="32">
        <v>76</v>
      </c>
      <c r="G202" s="39" t="s">
        <v>215</v>
      </c>
      <c r="H202" s="39"/>
      <c r="I202" s="12">
        <f t="shared" si="3"/>
        <v>210201</v>
      </c>
    </row>
    <row r="203" spans="1:9">
      <c r="A203" s="2">
        <v>10202</v>
      </c>
      <c r="B203" s="39" t="s">
        <v>216</v>
      </c>
      <c r="C203" s="39" t="s">
        <v>588</v>
      </c>
      <c r="D203" s="65" t="s">
        <v>589</v>
      </c>
      <c r="E203" s="66">
        <v>37730</v>
      </c>
      <c r="F203" s="32">
        <v>48</v>
      </c>
      <c r="G203" s="39" t="s">
        <v>54</v>
      </c>
      <c r="H203" s="39"/>
      <c r="I203" s="12">
        <f t="shared" si="3"/>
        <v>10202</v>
      </c>
    </row>
    <row r="204" spans="1:9">
      <c r="A204" s="2">
        <v>10203</v>
      </c>
      <c r="B204" s="39" t="s">
        <v>590</v>
      </c>
      <c r="C204" s="39" t="s">
        <v>591</v>
      </c>
      <c r="D204" s="65" t="s">
        <v>592</v>
      </c>
      <c r="E204" s="66">
        <v>33987</v>
      </c>
      <c r="F204" s="32">
        <v>76</v>
      </c>
      <c r="G204" s="39" t="s">
        <v>215</v>
      </c>
      <c r="H204" s="39"/>
      <c r="I204" s="12">
        <f t="shared" si="3"/>
        <v>10203</v>
      </c>
    </row>
    <row r="205" spans="1:9">
      <c r="A205" s="2">
        <v>10204</v>
      </c>
      <c r="B205" s="39" t="s">
        <v>593</v>
      </c>
      <c r="C205" s="39" t="s">
        <v>171</v>
      </c>
      <c r="D205" s="65" t="s">
        <v>594</v>
      </c>
      <c r="E205" s="66">
        <v>37228</v>
      </c>
      <c r="F205" s="32">
        <v>48</v>
      </c>
      <c r="G205" s="39" t="s">
        <v>215</v>
      </c>
      <c r="H205" s="39"/>
      <c r="I205" s="12">
        <f t="shared" si="3"/>
        <v>10204</v>
      </c>
    </row>
    <row r="206" spans="1:9">
      <c r="A206" s="2">
        <v>10205</v>
      </c>
      <c r="B206" s="39" t="s">
        <v>171</v>
      </c>
      <c r="C206" s="39" t="s">
        <v>595</v>
      </c>
      <c r="D206" s="65" t="s">
        <v>596</v>
      </c>
      <c r="E206" s="66">
        <v>35382</v>
      </c>
      <c r="F206" s="32">
        <v>76</v>
      </c>
      <c r="G206" s="39" t="s">
        <v>215</v>
      </c>
      <c r="H206" s="39"/>
      <c r="I206" s="12">
        <f t="shared" si="3"/>
        <v>10205</v>
      </c>
    </row>
    <row r="207" spans="1:9">
      <c r="A207" s="2">
        <v>10206</v>
      </c>
      <c r="B207" s="39" t="s">
        <v>597</v>
      </c>
      <c r="C207" s="39" t="s">
        <v>598</v>
      </c>
      <c r="D207" s="65" t="s">
        <v>599</v>
      </c>
      <c r="E207" s="66">
        <v>34769</v>
      </c>
      <c r="F207" s="32">
        <v>48</v>
      </c>
      <c r="G207" s="39" t="s">
        <v>215</v>
      </c>
      <c r="H207" s="39"/>
      <c r="I207" s="12">
        <f t="shared" si="3"/>
        <v>10206</v>
      </c>
    </row>
    <row r="208" spans="1:9">
      <c r="A208" s="2">
        <v>210207</v>
      </c>
      <c r="B208" s="39" t="s">
        <v>516</v>
      </c>
      <c r="C208" s="39" t="s">
        <v>171</v>
      </c>
      <c r="D208" s="65" t="s">
        <v>600</v>
      </c>
      <c r="E208" s="66">
        <v>38852</v>
      </c>
      <c r="F208" s="32">
        <v>76</v>
      </c>
      <c r="G208" s="39" t="s">
        <v>54</v>
      </c>
      <c r="H208" s="39"/>
      <c r="I208" s="12">
        <f t="shared" si="3"/>
        <v>210207</v>
      </c>
    </row>
    <row r="209" spans="1:9">
      <c r="A209" s="2">
        <v>210208</v>
      </c>
      <c r="B209" s="39" t="s">
        <v>601</v>
      </c>
      <c r="C209" s="39" t="s">
        <v>602</v>
      </c>
      <c r="D209" s="65" t="s">
        <v>603</v>
      </c>
      <c r="E209" s="66">
        <v>39188</v>
      </c>
      <c r="F209" s="32">
        <v>76</v>
      </c>
      <c r="G209" s="39" t="s">
        <v>215</v>
      </c>
      <c r="H209" s="39"/>
      <c r="I209" s="12">
        <f t="shared" si="3"/>
        <v>210208</v>
      </c>
    </row>
    <row r="210" spans="1:9">
      <c r="A210" s="2">
        <v>10209</v>
      </c>
      <c r="B210" s="39" t="s">
        <v>604</v>
      </c>
      <c r="C210" s="39" t="s">
        <v>73</v>
      </c>
      <c r="D210" s="65" t="s">
        <v>605</v>
      </c>
      <c r="E210" s="66">
        <v>36848</v>
      </c>
      <c r="F210" s="32">
        <v>76</v>
      </c>
      <c r="G210" s="39" t="s">
        <v>54</v>
      </c>
      <c r="H210" s="39"/>
      <c r="I210" s="12">
        <f t="shared" si="3"/>
        <v>10209</v>
      </c>
    </row>
    <row r="211" spans="1:9">
      <c r="A211" s="2">
        <v>10210</v>
      </c>
      <c r="B211" s="39" t="s">
        <v>606</v>
      </c>
      <c r="C211" s="39" t="s">
        <v>607</v>
      </c>
      <c r="D211" s="65" t="s">
        <v>608</v>
      </c>
      <c r="E211" s="66">
        <v>35935</v>
      </c>
      <c r="F211" s="32">
        <v>76</v>
      </c>
      <c r="G211" s="39" t="s">
        <v>54</v>
      </c>
      <c r="H211" s="39"/>
      <c r="I211" s="12">
        <f t="shared" si="3"/>
        <v>10210</v>
      </c>
    </row>
    <row r="212" spans="1:9">
      <c r="A212" s="2">
        <v>10211</v>
      </c>
      <c r="B212" s="39" t="s">
        <v>609</v>
      </c>
      <c r="C212" s="39" t="s">
        <v>610</v>
      </c>
      <c r="D212" s="65" t="s">
        <v>611</v>
      </c>
      <c r="E212" s="66">
        <v>33574</v>
      </c>
      <c r="F212" s="32">
        <v>200</v>
      </c>
      <c r="G212" s="39" t="s">
        <v>215</v>
      </c>
      <c r="H212" s="39"/>
      <c r="I212" s="12">
        <f t="shared" si="3"/>
        <v>10211</v>
      </c>
    </row>
    <row r="213" spans="1:9">
      <c r="A213" s="2">
        <v>210212</v>
      </c>
      <c r="B213" s="39" t="s">
        <v>612</v>
      </c>
      <c r="C213" s="39" t="s">
        <v>613</v>
      </c>
      <c r="D213" s="65" t="s">
        <v>614</v>
      </c>
      <c r="E213" s="66">
        <v>38844</v>
      </c>
      <c r="F213" s="32">
        <v>76</v>
      </c>
      <c r="G213" s="39" t="s">
        <v>215</v>
      </c>
      <c r="H213" s="39"/>
      <c r="I213" s="12">
        <f t="shared" si="3"/>
        <v>210212</v>
      </c>
    </row>
    <row r="214" spans="1:9">
      <c r="A214" s="2">
        <v>10213</v>
      </c>
      <c r="B214" s="39" t="s">
        <v>615</v>
      </c>
      <c r="C214" s="39" t="s">
        <v>616</v>
      </c>
      <c r="D214" s="65" t="s">
        <v>617</v>
      </c>
      <c r="E214" s="66">
        <v>38256</v>
      </c>
      <c r="F214" s="32">
        <v>76</v>
      </c>
      <c r="G214" s="39" t="s">
        <v>215</v>
      </c>
      <c r="H214" s="39"/>
      <c r="I214" s="12">
        <f t="shared" si="3"/>
        <v>10213</v>
      </c>
    </row>
    <row r="215" spans="1:9">
      <c r="A215" s="2">
        <v>10214</v>
      </c>
      <c r="B215" s="39" t="s">
        <v>618</v>
      </c>
      <c r="C215" s="39" t="s">
        <v>73</v>
      </c>
      <c r="D215" s="65" t="s">
        <v>619</v>
      </c>
      <c r="E215" s="66">
        <v>37855</v>
      </c>
      <c r="F215" s="32">
        <v>76</v>
      </c>
      <c r="G215" s="39" t="s">
        <v>71</v>
      </c>
      <c r="H215" s="39"/>
      <c r="I215" s="12">
        <f t="shared" si="3"/>
        <v>10214</v>
      </c>
    </row>
    <row r="216" spans="1:9">
      <c r="A216" s="2">
        <v>10215</v>
      </c>
      <c r="B216" s="39" t="s">
        <v>620</v>
      </c>
      <c r="C216" s="39" t="s">
        <v>193</v>
      </c>
      <c r="D216" s="65" t="s">
        <v>621</v>
      </c>
      <c r="E216" s="66">
        <v>25228</v>
      </c>
      <c r="F216" s="32">
        <v>76</v>
      </c>
      <c r="G216" s="39" t="s">
        <v>215</v>
      </c>
      <c r="H216" s="39"/>
      <c r="I216" s="12">
        <f t="shared" si="3"/>
        <v>10215</v>
      </c>
    </row>
    <row r="217" spans="1:9">
      <c r="A217" s="2">
        <v>10216</v>
      </c>
      <c r="B217" s="39" t="s">
        <v>622</v>
      </c>
      <c r="C217" s="39" t="s">
        <v>623</v>
      </c>
      <c r="D217" s="65" t="s">
        <v>624</v>
      </c>
      <c r="E217" s="66">
        <v>35708</v>
      </c>
      <c r="F217" s="32">
        <v>48</v>
      </c>
      <c r="G217" s="39" t="s">
        <v>54</v>
      </c>
      <c r="H217" s="39"/>
      <c r="I217" s="12">
        <f t="shared" si="3"/>
        <v>10216</v>
      </c>
    </row>
    <row r="218" spans="1:9">
      <c r="A218" s="2">
        <v>10217</v>
      </c>
      <c r="B218" s="39" t="s">
        <v>625</v>
      </c>
      <c r="C218" s="39" t="s">
        <v>626</v>
      </c>
      <c r="D218" s="65" t="s">
        <v>627</v>
      </c>
      <c r="E218" s="66">
        <v>38818</v>
      </c>
      <c r="F218" s="32">
        <v>76</v>
      </c>
      <c r="G218" s="39" t="s">
        <v>215</v>
      </c>
      <c r="H218" s="39"/>
      <c r="I218" s="12">
        <f t="shared" si="3"/>
        <v>10217</v>
      </c>
    </row>
    <row r="219" spans="1:9">
      <c r="A219" s="2">
        <v>210218</v>
      </c>
      <c r="B219" s="39" t="s">
        <v>628</v>
      </c>
      <c r="C219" s="39" t="s">
        <v>629</v>
      </c>
      <c r="D219" s="65" t="s">
        <v>630</v>
      </c>
      <c r="E219" s="66">
        <v>39043</v>
      </c>
      <c r="F219" s="32">
        <v>76</v>
      </c>
      <c r="G219" s="39" t="s">
        <v>215</v>
      </c>
      <c r="H219" s="39"/>
      <c r="I219" s="12">
        <f t="shared" si="3"/>
        <v>210218</v>
      </c>
    </row>
    <row r="220" spans="1:9">
      <c r="A220" s="2">
        <v>210219</v>
      </c>
      <c r="B220" s="39" t="s">
        <v>631</v>
      </c>
      <c r="C220" s="39" t="s">
        <v>60</v>
      </c>
      <c r="D220" s="65" t="s">
        <v>632</v>
      </c>
      <c r="E220" s="66">
        <v>39383</v>
      </c>
      <c r="F220" s="32">
        <v>76</v>
      </c>
      <c r="G220" s="39" t="s">
        <v>215</v>
      </c>
      <c r="H220" s="39"/>
      <c r="I220" s="12">
        <f t="shared" si="3"/>
        <v>210219</v>
      </c>
    </row>
    <row r="221" spans="1:9">
      <c r="A221" s="2">
        <v>10220</v>
      </c>
      <c r="B221" s="39" t="s">
        <v>633</v>
      </c>
      <c r="C221" s="39" t="s">
        <v>634</v>
      </c>
      <c r="D221" s="65" t="s">
        <v>635</v>
      </c>
      <c r="E221" s="66">
        <v>38861</v>
      </c>
      <c r="F221" s="32">
        <v>76</v>
      </c>
      <c r="G221" s="39" t="s">
        <v>215</v>
      </c>
      <c r="H221" s="39"/>
      <c r="I221" s="12">
        <f t="shared" si="3"/>
        <v>10220</v>
      </c>
    </row>
    <row r="222" spans="1:9">
      <c r="A222" s="2">
        <v>10221</v>
      </c>
      <c r="B222" s="39" t="s">
        <v>636</v>
      </c>
      <c r="C222" s="39" t="s">
        <v>118</v>
      </c>
      <c r="D222" s="65" t="s">
        <v>637</v>
      </c>
      <c r="E222" s="66">
        <v>35471</v>
      </c>
      <c r="F222" s="32">
        <v>48</v>
      </c>
      <c r="G222" s="39" t="s">
        <v>215</v>
      </c>
      <c r="H222" s="39"/>
      <c r="I222" s="12">
        <f t="shared" si="3"/>
        <v>10221</v>
      </c>
    </row>
    <row r="223" spans="1:9">
      <c r="A223" s="2">
        <v>10222</v>
      </c>
      <c r="B223" s="39" t="s">
        <v>638</v>
      </c>
      <c r="C223" s="39" t="s">
        <v>639</v>
      </c>
      <c r="D223" s="65" t="s">
        <v>640</v>
      </c>
      <c r="E223" s="66">
        <v>36400</v>
      </c>
      <c r="F223" s="32">
        <v>76</v>
      </c>
      <c r="G223" s="39" t="s">
        <v>215</v>
      </c>
      <c r="H223" s="39"/>
      <c r="I223" s="12">
        <f t="shared" si="3"/>
        <v>10222</v>
      </c>
    </row>
    <row r="224" spans="1:9">
      <c r="A224" s="2">
        <v>210223</v>
      </c>
      <c r="B224" s="39" t="s">
        <v>641</v>
      </c>
      <c r="C224" s="39" t="s">
        <v>73</v>
      </c>
      <c r="D224" s="65" t="s">
        <v>642</v>
      </c>
      <c r="E224" s="66">
        <v>39443</v>
      </c>
      <c r="F224" s="32">
        <v>76</v>
      </c>
      <c r="G224" s="39" t="s">
        <v>215</v>
      </c>
      <c r="H224" s="39"/>
      <c r="I224" s="12">
        <f t="shared" si="3"/>
        <v>210223</v>
      </c>
    </row>
    <row r="225" spans="1:9">
      <c r="A225" s="2">
        <v>10224</v>
      </c>
      <c r="B225" s="39" t="s">
        <v>337</v>
      </c>
      <c r="C225" s="39" t="s">
        <v>643</v>
      </c>
      <c r="D225" s="65" t="s">
        <v>644</v>
      </c>
      <c r="E225" s="66">
        <v>38536</v>
      </c>
      <c r="F225" s="32">
        <v>76</v>
      </c>
      <c r="G225" s="39" t="s">
        <v>215</v>
      </c>
      <c r="H225" s="39"/>
      <c r="I225" s="12">
        <f t="shared" si="3"/>
        <v>10224</v>
      </c>
    </row>
    <row r="226" spans="1:9">
      <c r="A226" s="2">
        <v>10225</v>
      </c>
      <c r="B226" s="39" t="s">
        <v>645</v>
      </c>
      <c r="C226" s="39" t="s">
        <v>171</v>
      </c>
      <c r="D226" s="65" t="s">
        <v>646</v>
      </c>
      <c r="E226" s="66">
        <v>37692</v>
      </c>
      <c r="F226" s="32">
        <v>76</v>
      </c>
      <c r="G226" s="39" t="s">
        <v>215</v>
      </c>
      <c r="H226" s="39"/>
      <c r="I226" s="12">
        <f t="shared" si="3"/>
        <v>10225</v>
      </c>
    </row>
    <row r="227" spans="1:9">
      <c r="A227" s="2">
        <v>10226</v>
      </c>
      <c r="B227" s="39" t="s">
        <v>647</v>
      </c>
      <c r="C227" s="39" t="s">
        <v>440</v>
      </c>
      <c r="D227" s="65" t="s">
        <v>648</v>
      </c>
      <c r="E227" s="66">
        <v>36825</v>
      </c>
      <c r="F227" s="32">
        <v>48</v>
      </c>
      <c r="G227" s="39" t="s">
        <v>54</v>
      </c>
      <c r="H227" s="39"/>
      <c r="I227" s="12">
        <f t="shared" si="3"/>
        <v>10226</v>
      </c>
    </row>
    <row r="228" spans="1:9">
      <c r="A228" s="2">
        <v>10227</v>
      </c>
      <c r="B228" s="39" t="s">
        <v>649</v>
      </c>
      <c r="C228" s="39" t="s">
        <v>126</v>
      </c>
      <c r="D228" s="65" t="s">
        <v>650</v>
      </c>
      <c r="E228" s="66">
        <v>35198</v>
      </c>
      <c r="F228" s="32">
        <v>48</v>
      </c>
      <c r="G228" s="39" t="s">
        <v>54</v>
      </c>
      <c r="H228" s="39"/>
      <c r="I228" s="12">
        <f t="shared" si="3"/>
        <v>10227</v>
      </c>
    </row>
    <row r="229" spans="1:9">
      <c r="A229" s="2">
        <v>10228</v>
      </c>
      <c r="B229" s="39" t="s">
        <v>505</v>
      </c>
      <c r="C229" s="39" t="s">
        <v>115</v>
      </c>
      <c r="D229" s="65" t="s">
        <v>651</v>
      </c>
      <c r="E229" s="66">
        <v>36988</v>
      </c>
      <c r="F229" s="32">
        <v>76</v>
      </c>
      <c r="G229" s="39" t="s">
        <v>54</v>
      </c>
      <c r="H229" s="39"/>
      <c r="I229" s="12">
        <f t="shared" si="3"/>
        <v>10228</v>
      </c>
    </row>
    <row r="230" spans="1:9">
      <c r="A230" s="2">
        <v>10229</v>
      </c>
      <c r="B230" s="39" t="s">
        <v>652</v>
      </c>
      <c r="C230" s="39" t="s">
        <v>653</v>
      </c>
      <c r="D230" s="65" t="s">
        <v>654</v>
      </c>
      <c r="E230" s="66">
        <v>37527</v>
      </c>
      <c r="F230" s="32">
        <v>76</v>
      </c>
      <c r="G230" s="39" t="s">
        <v>54</v>
      </c>
      <c r="H230" s="39"/>
      <c r="I230" s="12">
        <f t="shared" si="3"/>
        <v>10229</v>
      </c>
    </row>
    <row r="231" spans="1:9">
      <c r="A231" s="2">
        <v>10230</v>
      </c>
      <c r="B231" s="39" t="s">
        <v>655</v>
      </c>
      <c r="C231" s="39" t="s">
        <v>69</v>
      </c>
      <c r="D231" s="65" t="s">
        <v>656</v>
      </c>
      <c r="E231" s="66">
        <v>34408</v>
      </c>
      <c r="F231" s="32">
        <v>76</v>
      </c>
      <c r="G231" s="39" t="s">
        <v>54</v>
      </c>
      <c r="H231" s="39"/>
      <c r="I231" s="12">
        <f t="shared" si="3"/>
        <v>10230</v>
      </c>
    </row>
    <row r="232" spans="1:9">
      <c r="A232" s="2">
        <v>10231</v>
      </c>
      <c r="B232" s="39" t="s">
        <v>657</v>
      </c>
      <c r="C232" s="39" t="s">
        <v>658</v>
      </c>
      <c r="D232" s="65" t="s">
        <v>659</v>
      </c>
      <c r="E232" s="66">
        <v>33274</v>
      </c>
      <c r="F232" s="32">
        <v>76</v>
      </c>
      <c r="G232" s="39" t="s">
        <v>54</v>
      </c>
      <c r="H232" s="39"/>
      <c r="I232" s="12">
        <f t="shared" si="3"/>
        <v>10231</v>
      </c>
    </row>
    <row r="233" spans="1:9">
      <c r="A233" s="2">
        <v>210232</v>
      </c>
      <c r="B233" s="39" t="s">
        <v>660</v>
      </c>
      <c r="C233" s="39" t="s">
        <v>118</v>
      </c>
      <c r="D233" s="65" t="s">
        <v>661</v>
      </c>
      <c r="E233" s="66">
        <v>39187</v>
      </c>
      <c r="F233" s="32">
        <v>76</v>
      </c>
      <c r="G233" s="39" t="s">
        <v>215</v>
      </c>
      <c r="H233" s="39"/>
      <c r="I233" s="12">
        <f t="shared" si="3"/>
        <v>210232</v>
      </c>
    </row>
    <row r="234" spans="1:9">
      <c r="A234" s="2">
        <v>10233</v>
      </c>
      <c r="B234" s="39" t="s">
        <v>662</v>
      </c>
      <c r="C234" s="39" t="s">
        <v>126</v>
      </c>
      <c r="D234" s="65" t="s">
        <v>663</v>
      </c>
      <c r="E234" s="66">
        <v>35702</v>
      </c>
      <c r="F234" s="32">
        <v>76</v>
      </c>
      <c r="G234" s="39" t="s">
        <v>54</v>
      </c>
      <c r="H234" s="39"/>
      <c r="I234" s="12">
        <f t="shared" si="3"/>
        <v>10233</v>
      </c>
    </row>
    <row r="235" spans="1:9">
      <c r="A235" s="2">
        <v>210234</v>
      </c>
      <c r="B235" s="39" t="s">
        <v>664</v>
      </c>
      <c r="C235" s="39" t="s">
        <v>665</v>
      </c>
      <c r="D235" s="65" t="s">
        <v>666</v>
      </c>
      <c r="E235" s="66">
        <v>39434</v>
      </c>
      <c r="F235" s="32">
        <v>76</v>
      </c>
      <c r="G235" s="39" t="s">
        <v>215</v>
      </c>
      <c r="H235" s="39"/>
      <c r="I235" s="12">
        <f t="shared" si="3"/>
        <v>210234</v>
      </c>
    </row>
    <row r="236" spans="1:9">
      <c r="A236" s="2">
        <v>10235</v>
      </c>
      <c r="B236" s="39" t="s">
        <v>667</v>
      </c>
      <c r="C236" s="39" t="s">
        <v>668</v>
      </c>
      <c r="D236" s="65" t="s">
        <v>669</v>
      </c>
      <c r="E236" s="66">
        <v>38068</v>
      </c>
      <c r="F236" s="32">
        <v>48</v>
      </c>
      <c r="G236" s="39" t="s">
        <v>54</v>
      </c>
      <c r="H236" s="39"/>
      <c r="I236" s="12">
        <f t="shared" si="3"/>
        <v>10235</v>
      </c>
    </row>
    <row r="237" spans="1:9">
      <c r="A237" s="2">
        <v>210236</v>
      </c>
      <c r="B237" s="39" t="s">
        <v>670</v>
      </c>
      <c r="C237" s="39" t="s">
        <v>671</v>
      </c>
      <c r="D237" s="65" t="s">
        <v>670</v>
      </c>
      <c r="E237" s="66">
        <v>38983</v>
      </c>
      <c r="F237" s="32">
        <v>76</v>
      </c>
      <c r="G237" s="39" t="s">
        <v>215</v>
      </c>
      <c r="H237" s="39"/>
      <c r="I237" s="12">
        <f t="shared" si="3"/>
        <v>210236</v>
      </c>
    </row>
    <row r="238" spans="1:9">
      <c r="A238" s="2">
        <v>10237</v>
      </c>
      <c r="B238" s="39" t="s">
        <v>672</v>
      </c>
      <c r="C238" s="39" t="s">
        <v>69</v>
      </c>
      <c r="D238" s="65" t="s">
        <v>673</v>
      </c>
      <c r="E238" s="66">
        <v>35318</v>
      </c>
      <c r="F238" s="32">
        <v>76</v>
      </c>
      <c r="G238" s="39" t="s">
        <v>71</v>
      </c>
      <c r="H238" s="39"/>
      <c r="I238" s="12">
        <f t="shared" si="3"/>
        <v>10237</v>
      </c>
    </row>
    <row r="239" spans="1:9">
      <c r="A239" s="2">
        <v>10238</v>
      </c>
      <c r="B239" s="39" t="s">
        <v>674</v>
      </c>
      <c r="C239" s="39" t="s">
        <v>674</v>
      </c>
      <c r="D239" s="65" t="s">
        <v>674</v>
      </c>
      <c r="E239" s="66">
        <v>36510</v>
      </c>
      <c r="F239" s="32">
        <v>48</v>
      </c>
      <c r="G239" s="39" t="s">
        <v>54</v>
      </c>
      <c r="H239" s="39"/>
      <c r="I239" s="12">
        <f t="shared" si="3"/>
        <v>10238</v>
      </c>
    </row>
    <row r="240" spans="1:9">
      <c r="A240" s="2">
        <v>10239</v>
      </c>
      <c r="B240" s="39" t="s">
        <v>675</v>
      </c>
      <c r="C240" s="39" t="s">
        <v>676</v>
      </c>
      <c r="D240" s="65" t="s">
        <v>677</v>
      </c>
      <c r="E240" s="66">
        <v>38125</v>
      </c>
      <c r="F240" s="32">
        <v>48</v>
      </c>
      <c r="G240" s="39" t="s">
        <v>54</v>
      </c>
      <c r="H240" s="39"/>
      <c r="I240" s="12">
        <f t="shared" si="3"/>
        <v>10239</v>
      </c>
    </row>
    <row r="241" spans="1:9">
      <c r="A241" s="2">
        <v>10240</v>
      </c>
      <c r="B241" s="39" t="s">
        <v>678</v>
      </c>
      <c r="C241" s="39" t="s">
        <v>679</v>
      </c>
      <c r="D241" s="65" t="s">
        <v>680</v>
      </c>
      <c r="E241" s="66">
        <v>36206</v>
      </c>
      <c r="F241" s="32">
        <v>48</v>
      </c>
      <c r="G241" s="39" t="s">
        <v>54</v>
      </c>
      <c r="H241" s="39"/>
      <c r="I241" s="12">
        <f t="shared" si="3"/>
        <v>10240</v>
      </c>
    </row>
    <row r="242" spans="1:9">
      <c r="A242" s="2">
        <v>10241</v>
      </c>
      <c r="B242" s="39" t="s">
        <v>681</v>
      </c>
      <c r="C242" s="39" t="s">
        <v>682</v>
      </c>
      <c r="D242" s="65" t="s">
        <v>683</v>
      </c>
      <c r="E242" s="66">
        <v>37149</v>
      </c>
      <c r="F242" s="32">
        <v>76</v>
      </c>
      <c r="G242" s="39" t="s">
        <v>54</v>
      </c>
      <c r="H242" s="39"/>
      <c r="I242" s="12">
        <f t="shared" si="3"/>
        <v>10241</v>
      </c>
    </row>
    <row r="243" spans="1:9">
      <c r="A243" s="2">
        <v>10242</v>
      </c>
      <c r="B243" s="39" t="s">
        <v>684</v>
      </c>
      <c r="C243" s="39" t="s">
        <v>685</v>
      </c>
      <c r="D243" s="65" t="s">
        <v>686</v>
      </c>
      <c r="E243" s="66">
        <v>35473</v>
      </c>
      <c r="F243" s="32">
        <v>76</v>
      </c>
      <c r="G243" s="39" t="s">
        <v>54</v>
      </c>
      <c r="H243" s="39"/>
      <c r="I243" s="12">
        <f t="shared" si="3"/>
        <v>10242</v>
      </c>
    </row>
    <row r="244" spans="1:9">
      <c r="A244" s="2">
        <v>10243</v>
      </c>
      <c r="B244" s="39" t="s">
        <v>687</v>
      </c>
      <c r="C244" s="39" t="s">
        <v>522</v>
      </c>
      <c r="D244" s="65" t="s">
        <v>688</v>
      </c>
      <c r="E244" s="66">
        <v>36411</v>
      </c>
      <c r="F244" s="32">
        <v>76</v>
      </c>
      <c r="G244" s="39" t="s">
        <v>54</v>
      </c>
      <c r="H244" s="39"/>
      <c r="I244" s="12">
        <f t="shared" si="3"/>
        <v>10243</v>
      </c>
    </row>
    <row r="245" spans="1:9">
      <c r="A245" s="2">
        <v>10244</v>
      </c>
      <c r="B245" s="39" t="s">
        <v>689</v>
      </c>
      <c r="C245" s="39" t="s">
        <v>690</v>
      </c>
      <c r="D245" s="65" t="s">
        <v>691</v>
      </c>
      <c r="E245" s="66">
        <v>38773</v>
      </c>
      <c r="F245" s="32">
        <v>76</v>
      </c>
      <c r="G245" s="39" t="s">
        <v>215</v>
      </c>
      <c r="H245" s="39"/>
      <c r="I245" s="12">
        <f t="shared" si="3"/>
        <v>10244</v>
      </c>
    </row>
    <row r="246" spans="1:9">
      <c r="A246" s="2">
        <v>10245</v>
      </c>
      <c r="B246" s="39" t="s">
        <v>692</v>
      </c>
      <c r="C246" s="39" t="s">
        <v>693</v>
      </c>
      <c r="D246" s="65" t="s">
        <v>694</v>
      </c>
      <c r="E246" s="66">
        <v>36046</v>
      </c>
      <c r="F246" s="32">
        <v>48</v>
      </c>
      <c r="G246" s="39" t="s">
        <v>54</v>
      </c>
      <c r="H246" s="39"/>
      <c r="I246" s="12">
        <f t="shared" si="3"/>
        <v>10245</v>
      </c>
    </row>
    <row r="247" spans="1:9">
      <c r="A247" s="2">
        <v>10246</v>
      </c>
      <c r="B247" s="39" t="s">
        <v>695</v>
      </c>
      <c r="C247" s="39" t="s">
        <v>57</v>
      </c>
      <c r="D247" s="65" t="s">
        <v>696</v>
      </c>
      <c r="E247" s="66">
        <v>34847</v>
      </c>
      <c r="F247" s="32">
        <v>48</v>
      </c>
      <c r="G247" s="39" t="s">
        <v>71</v>
      </c>
      <c r="H247" s="39"/>
      <c r="I247" s="12">
        <f t="shared" si="3"/>
        <v>10246</v>
      </c>
    </row>
    <row r="248" spans="1:9">
      <c r="A248" s="2">
        <v>10247</v>
      </c>
      <c r="B248" s="39" t="s">
        <v>697</v>
      </c>
      <c r="C248" s="39" t="s">
        <v>698</v>
      </c>
      <c r="D248" s="65" t="s">
        <v>699</v>
      </c>
      <c r="E248" s="66">
        <v>35944</v>
      </c>
      <c r="F248" s="32">
        <v>76</v>
      </c>
      <c r="G248" s="39" t="s">
        <v>54</v>
      </c>
      <c r="H248" s="39"/>
      <c r="I248" s="12">
        <f t="shared" si="3"/>
        <v>10247</v>
      </c>
    </row>
    <row r="249" spans="1:9">
      <c r="A249" s="2">
        <v>10248</v>
      </c>
      <c r="B249" s="39" t="s">
        <v>700</v>
      </c>
      <c r="C249" s="39" t="s">
        <v>69</v>
      </c>
      <c r="D249" s="65" t="s">
        <v>701</v>
      </c>
      <c r="E249" s="66">
        <v>36225</v>
      </c>
      <c r="F249" s="32">
        <v>76</v>
      </c>
      <c r="G249" s="39" t="s">
        <v>54</v>
      </c>
      <c r="H249" s="39"/>
      <c r="I249" s="12">
        <f t="shared" si="3"/>
        <v>10248</v>
      </c>
    </row>
    <row r="250" spans="1:9">
      <c r="A250" s="2">
        <v>10249</v>
      </c>
      <c r="B250" s="39" t="s">
        <v>702</v>
      </c>
      <c r="C250" s="39" t="s">
        <v>443</v>
      </c>
      <c r="D250" s="65" t="s">
        <v>703</v>
      </c>
      <c r="E250" s="66">
        <v>35962</v>
      </c>
      <c r="F250" s="32">
        <v>76</v>
      </c>
      <c r="G250" s="39" t="s">
        <v>54</v>
      </c>
      <c r="H250" s="39"/>
      <c r="I250" s="12">
        <f t="shared" si="3"/>
        <v>10249</v>
      </c>
    </row>
    <row r="251" spans="1:9">
      <c r="A251" s="2">
        <v>10250</v>
      </c>
      <c r="B251" s="39" t="s">
        <v>704</v>
      </c>
      <c r="C251" s="39" t="s">
        <v>705</v>
      </c>
      <c r="D251" s="65" t="s">
        <v>706</v>
      </c>
      <c r="E251" s="66">
        <v>38325</v>
      </c>
      <c r="F251" s="32">
        <v>76</v>
      </c>
      <c r="G251" s="39" t="s">
        <v>54</v>
      </c>
      <c r="H251" s="39"/>
      <c r="I251" s="12">
        <f t="shared" si="3"/>
        <v>10250</v>
      </c>
    </row>
    <row r="252" spans="1:9">
      <c r="A252" s="2">
        <v>10251</v>
      </c>
      <c r="B252" s="39" t="s">
        <v>707</v>
      </c>
      <c r="C252" s="39" t="s">
        <v>189</v>
      </c>
      <c r="D252" s="65" t="s">
        <v>708</v>
      </c>
      <c r="E252" s="66">
        <v>36851</v>
      </c>
      <c r="F252" s="32">
        <v>48</v>
      </c>
      <c r="G252" s="39" t="s">
        <v>54</v>
      </c>
      <c r="H252" s="39"/>
      <c r="I252" s="12">
        <f t="shared" si="3"/>
        <v>10251</v>
      </c>
    </row>
    <row r="253" spans="1:9">
      <c r="A253" s="2">
        <v>10252</v>
      </c>
      <c r="B253" s="39" t="s">
        <v>709</v>
      </c>
      <c r="C253" s="39" t="s">
        <v>189</v>
      </c>
      <c r="D253" s="65" t="s">
        <v>710</v>
      </c>
      <c r="E253" s="66">
        <v>38345</v>
      </c>
      <c r="F253" s="32">
        <v>76</v>
      </c>
      <c r="G253" s="39" t="s">
        <v>215</v>
      </c>
      <c r="H253" s="39"/>
      <c r="I253" s="12">
        <f t="shared" si="3"/>
        <v>10252</v>
      </c>
    </row>
    <row r="254" spans="1:9">
      <c r="A254" s="2">
        <v>10253</v>
      </c>
      <c r="B254" s="39" t="s">
        <v>711</v>
      </c>
      <c r="C254" s="39" t="s">
        <v>712</v>
      </c>
      <c r="D254" s="65" t="s">
        <v>713</v>
      </c>
      <c r="E254" s="66">
        <v>36991</v>
      </c>
      <c r="F254" s="32">
        <v>76</v>
      </c>
      <c r="G254" s="39" t="s">
        <v>54</v>
      </c>
      <c r="H254" s="39" t="s">
        <v>55</v>
      </c>
      <c r="I254" s="12">
        <f t="shared" si="3"/>
        <v>10253</v>
      </c>
    </row>
    <row r="255" spans="1:9">
      <c r="A255" s="2">
        <v>210254</v>
      </c>
      <c r="B255" s="39" t="s">
        <v>714</v>
      </c>
      <c r="C255" s="39" t="s">
        <v>715</v>
      </c>
      <c r="D255" s="65" t="s">
        <v>716</v>
      </c>
      <c r="E255" s="66">
        <v>38890</v>
      </c>
      <c r="F255" s="32">
        <v>76</v>
      </c>
      <c r="G255" s="39" t="s">
        <v>215</v>
      </c>
      <c r="H255" s="39"/>
      <c r="I255" s="12">
        <f t="shared" si="3"/>
        <v>210254</v>
      </c>
    </row>
    <row r="256" spans="1:9">
      <c r="A256" s="2">
        <v>10255</v>
      </c>
      <c r="B256" s="39" t="s">
        <v>717</v>
      </c>
      <c r="C256" s="39" t="s">
        <v>69</v>
      </c>
      <c r="D256" s="65" t="s">
        <v>718</v>
      </c>
      <c r="E256" s="66">
        <v>36868</v>
      </c>
      <c r="F256" s="32">
        <v>76</v>
      </c>
      <c r="G256" s="39" t="s">
        <v>54</v>
      </c>
      <c r="H256" s="39"/>
      <c r="I256" s="12">
        <f t="shared" si="3"/>
        <v>10255</v>
      </c>
    </row>
    <row r="257" spans="1:9">
      <c r="A257" s="2">
        <v>10256</v>
      </c>
      <c r="B257" s="39" t="s">
        <v>719</v>
      </c>
      <c r="C257" s="39" t="s">
        <v>720</v>
      </c>
      <c r="D257" s="65" t="s">
        <v>721</v>
      </c>
      <c r="E257" s="66">
        <v>37267</v>
      </c>
      <c r="F257" s="32">
        <v>76</v>
      </c>
      <c r="G257" s="39" t="s">
        <v>54</v>
      </c>
      <c r="H257" s="39"/>
      <c r="I257" s="12">
        <f t="shared" si="3"/>
        <v>10256</v>
      </c>
    </row>
    <row r="258" spans="1:9">
      <c r="A258" s="2">
        <v>10257</v>
      </c>
      <c r="B258" s="39" t="s">
        <v>722</v>
      </c>
      <c r="C258" s="39" t="s">
        <v>135</v>
      </c>
      <c r="D258" s="65" t="s">
        <v>723</v>
      </c>
      <c r="E258" s="66">
        <v>27704</v>
      </c>
      <c r="F258" s="32">
        <v>76</v>
      </c>
      <c r="G258" s="39" t="s">
        <v>215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724</v>
      </c>
      <c r="C259" s="39" t="s">
        <v>725</v>
      </c>
      <c r="D259" s="65" t="s">
        <v>726</v>
      </c>
      <c r="E259" s="66">
        <v>35807</v>
      </c>
      <c r="F259" s="32">
        <v>76</v>
      </c>
      <c r="G259" s="39" t="s">
        <v>54</v>
      </c>
      <c r="H259" s="39"/>
      <c r="I259" s="12">
        <f t="shared" si="4"/>
        <v>10258</v>
      </c>
    </row>
    <row r="260" spans="1:9">
      <c r="A260" s="2">
        <v>10259</v>
      </c>
      <c r="B260" s="39" t="s">
        <v>727</v>
      </c>
      <c r="C260" s="39" t="s">
        <v>522</v>
      </c>
      <c r="D260" s="65" t="s">
        <v>728</v>
      </c>
      <c r="E260" s="66">
        <v>38487</v>
      </c>
      <c r="F260" s="32">
        <v>76</v>
      </c>
      <c r="G260" s="39" t="s">
        <v>215</v>
      </c>
      <c r="H260" s="39"/>
      <c r="I260" s="12">
        <f t="shared" si="4"/>
        <v>10259</v>
      </c>
    </row>
    <row r="261" spans="1:9">
      <c r="A261" s="2">
        <v>10260</v>
      </c>
      <c r="B261" s="39" t="s">
        <v>729</v>
      </c>
      <c r="C261" s="39" t="s">
        <v>98</v>
      </c>
      <c r="D261" s="65" t="s">
        <v>730</v>
      </c>
      <c r="E261" s="66">
        <v>35804</v>
      </c>
      <c r="F261" s="32">
        <v>76</v>
      </c>
      <c r="G261" s="39" t="s">
        <v>54</v>
      </c>
      <c r="H261" s="39"/>
      <c r="I261" s="12">
        <f t="shared" si="4"/>
        <v>10260</v>
      </c>
    </row>
    <row r="262" spans="1:9">
      <c r="A262" s="2">
        <v>210261</v>
      </c>
      <c r="B262" s="39" t="s">
        <v>731</v>
      </c>
      <c r="C262" s="39" t="s">
        <v>454</v>
      </c>
      <c r="D262" s="65" t="s">
        <v>732</v>
      </c>
      <c r="E262" s="66">
        <v>38174</v>
      </c>
      <c r="F262" s="32">
        <v>48</v>
      </c>
      <c r="G262" s="39" t="s">
        <v>54</v>
      </c>
      <c r="H262" s="39"/>
      <c r="I262" s="12">
        <f t="shared" si="4"/>
        <v>210261</v>
      </c>
    </row>
    <row r="263" spans="1:9">
      <c r="A263" s="2">
        <v>10262</v>
      </c>
      <c r="B263" s="39" t="s">
        <v>733</v>
      </c>
      <c r="C263" s="39" t="s">
        <v>73</v>
      </c>
      <c r="D263" s="65" t="s">
        <v>734</v>
      </c>
      <c r="E263" s="66">
        <v>37243</v>
      </c>
      <c r="F263" s="32">
        <v>48</v>
      </c>
      <c r="G263" s="39" t="s">
        <v>54</v>
      </c>
      <c r="H263" s="39"/>
      <c r="I263" s="12">
        <f t="shared" si="4"/>
        <v>10262</v>
      </c>
    </row>
    <row r="264" spans="1:9">
      <c r="A264" s="2">
        <v>10263</v>
      </c>
      <c r="B264" s="39" t="s">
        <v>735</v>
      </c>
      <c r="C264" s="39" t="s">
        <v>736</v>
      </c>
      <c r="D264" s="65" t="s">
        <v>737</v>
      </c>
      <c r="E264" s="66">
        <v>36747</v>
      </c>
      <c r="F264" s="32">
        <v>48</v>
      </c>
      <c r="G264" s="39" t="s">
        <v>215</v>
      </c>
      <c r="H264" s="39"/>
      <c r="I264" s="12">
        <f t="shared" si="4"/>
        <v>10263</v>
      </c>
    </row>
    <row r="265" spans="1:9">
      <c r="A265" s="2">
        <v>10264</v>
      </c>
      <c r="B265" s="39" t="s">
        <v>738</v>
      </c>
      <c r="C265" s="39" t="s">
        <v>739</v>
      </c>
      <c r="D265" s="65" t="s">
        <v>740</v>
      </c>
      <c r="E265" s="66">
        <v>36604</v>
      </c>
      <c r="F265" s="32">
        <v>76</v>
      </c>
      <c r="G265" s="39" t="s">
        <v>54</v>
      </c>
      <c r="H265" s="39"/>
      <c r="I265" s="12">
        <f t="shared" si="4"/>
        <v>10264</v>
      </c>
    </row>
    <row r="266" spans="1:9">
      <c r="A266" s="2">
        <v>10265</v>
      </c>
      <c r="B266" s="39" t="s">
        <v>741</v>
      </c>
      <c r="C266" s="39" t="s">
        <v>88</v>
      </c>
      <c r="D266" s="65" t="s">
        <v>742</v>
      </c>
      <c r="E266" s="66">
        <v>37171</v>
      </c>
      <c r="F266" s="32">
        <v>48</v>
      </c>
      <c r="G266" s="39" t="s">
        <v>215</v>
      </c>
      <c r="H266" s="39"/>
      <c r="I266" s="12">
        <f t="shared" si="4"/>
        <v>10265</v>
      </c>
    </row>
    <row r="267" spans="1:9">
      <c r="A267" s="2">
        <v>10266</v>
      </c>
      <c r="B267" s="39" t="s">
        <v>743</v>
      </c>
      <c r="C267" s="39" t="s">
        <v>744</v>
      </c>
      <c r="D267" s="65" t="s">
        <v>745</v>
      </c>
      <c r="E267" s="66">
        <v>37030</v>
      </c>
      <c r="F267" s="32">
        <v>76</v>
      </c>
      <c r="G267" s="39" t="s">
        <v>54</v>
      </c>
      <c r="H267" s="39"/>
      <c r="I267" s="12">
        <f t="shared" si="4"/>
        <v>10266</v>
      </c>
    </row>
    <row r="268" spans="1:9">
      <c r="A268" s="2">
        <v>10267</v>
      </c>
      <c r="B268" s="39" t="s">
        <v>746</v>
      </c>
      <c r="C268" s="39" t="s">
        <v>747</v>
      </c>
      <c r="D268" s="65" t="s">
        <v>748</v>
      </c>
      <c r="E268" s="66">
        <v>37091</v>
      </c>
      <c r="F268" s="32">
        <v>76</v>
      </c>
      <c r="G268" s="39" t="s">
        <v>54</v>
      </c>
      <c r="H268" s="39"/>
      <c r="I268" s="12">
        <f t="shared" si="4"/>
        <v>10267</v>
      </c>
    </row>
    <row r="269" spans="1:9">
      <c r="A269" s="2">
        <v>10268</v>
      </c>
      <c r="B269" s="39" t="s">
        <v>749</v>
      </c>
      <c r="C269" s="39" t="s">
        <v>126</v>
      </c>
      <c r="D269" s="65" t="s">
        <v>750</v>
      </c>
      <c r="E269" s="66">
        <v>37479</v>
      </c>
      <c r="F269" s="32">
        <v>48</v>
      </c>
      <c r="G269" s="39" t="s">
        <v>54</v>
      </c>
      <c r="H269" s="39"/>
      <c r="I269" s="12">
        <f t="shared" si="4"/>
        <v>10268</v>
      </c>
    </row>
    <row r="270" spans="1:9">
      <c r="A270" s="2">
        <v>10269</v>
      </c>
      <c r="B270" s="39" t="s">
        <v>751</v>
      </c>
      <c r="C270" s="39" t="s">
        <v>752</v>
      </c>
      <c r="D270" s="65" t="s">
        <v>753</v>
      </c>
      <c r="E270" s="66">
        <v>38054</v>
      </c>
      <c r="F270" s="32">
        <v>76</v>
      </c>
      <c r="G270" s="39" t="s">
        <v>54</v>
      </c>
      <c r="H270" s="39"/>
      <c r="I270" s="12">
        <f t="shared" si="4"/>
        <v>10269</v>
      </c>
    </row>
    <row r="271" spans="1:9">
      <c r="A271" s="2">
        <v>10270</v>
      </c>
      <c r="B271" s="39" t="s">
        <v>754</v>
      </c>
      <c r="C271" s="39" t="s">
        <v>755</v>
      </c>
      <c r="D271" s="65" t="s">
        <v>756</v>
      </c>
      <c r="E271" s="66">
        <v>37893</v>
      </c>
      <c r="F271" s="32">
        <v>48</v>
      </c>
      <c r="G271" s="39" t="s">
        <v>54</v>
      </c>
      <c r="H271" s="39"/>
      <c r="I271" s="12">
        <f t="shared" si="4"/>
        <v>10270</v>
      </c>
    </row>
    <row r="272" spans="1:9">
      <c r="A272" s="2">
        <v>10271</v>
      </c>
      <c r="B272" s="39" t="s">
        <v>757</v>
      </c>
      <c r="C272" s="39" t="s">
        <v>115</v>
      </c>
      <c r="D272" s="65" t="s">
        <v>758</v>
      </c>
      <c r="E272" s="66">
        <v>38451</v>
      </c>
      <c r="F272" s="32">
        <v>76</v>
      </c>
      <c r="G272" s="39" t="s">
        <v>215</v>
      </c>
      <c r="H272" s="39"/>
      <c r="I272" s="12">
        <f t="shared" si="4"/>
        <v>10271</v>
      </c>
    </row>
    <row r="273" spans="1:9">
      <c r="A273" s="2">
        <v>10272</v>
      </c>
      <c r="B273" s="39" t="s">
        <v>759</v>
      </c>
      <c r="C273" s="39" t="s">
        <v>760</v>
      </c>
      <c r="D273" s="65" t="s">
        <v>761</v>
      </c>
      <c r="E273" s="66">
        <v>34622</v>
      </c>
      <c r="F273" s="32">
        <v>48</v>
      </c>
      <c r="G273" s="39" t="s">
        <v>215</v>
      </c>
      <c r="H273" s="39"/>
      <c r="I273" s="12">
        <f t="shared" si="4"/>
        <v>10272</v>
      </c>
    </row>
    <row r="274" spans="1:9">
      <c r="A274" s="2">
        <v>210273</v>
      </c>
      <c r="B274" s="39" t="s">
        <v>762</v>
      </c>
      <c r="C274" s="39" t="s">
        <v>763</v>
      </c>
      <c r="D274" s="65" t="s">
        <v>764</v>
      </c>
      <c r="E274" s="66">
        <v>38847</v>
      </c>
      <c r="F274" s="32">
        <v>76</v>
      </c>
      <c r="G274" s="39" t="s">
        <v>215</v>
      </c>
      <c r="H274" s="39"/>
      <c r="I274" s="12">
        <f t="shared" si="4"/>
        <v>210273</v>
      </c>
    </row>
    <row r="275" spans="1:9">
      <c r="A275" s="2">
        <v>10274</v>
      </c>
      <c r="B275" s="39" t="s">
        <v>765</v>
      </c>
      <c r="C275" s="39" t="s">
        <v>335</v>
      </c>
      <c r="D275" s="65" t="s">
        <v>766</v>
      </c>
      <c r="E275" s="66">
        <v>35720</v>
      </c>
      <c r="F275" s="32">
        <v>48</v>
      </c>
      <c r="G275" s="39" t="s">
        <v>215</v>
      </c>
      <c r="H275" s="39"/>
      <c r="I275" s="12">
        <f t="shared" si="4"/>
        <v>10274</v>
      </c>
    </row>
    <row r="276" spans="1:9">
      <c r="A276" s="2">
        <v>10275</v>
      </c>
      <c r="B276" s="39" t="s">
        <v>767</v>
      </c>
      <c r="C276" s="39" t="s">
        <v>768</v>
      </c>
      <c r="D276" s="65" t="s">
        <v>769</v>
      </c>
      <c r="E276" s="66">
        <v>37628</v>
      </c>
      <c r="F276" s="32">
        <v>48</v>
      </c>
      <c r="G276" s="39" t="s">
        <v>54</v>
      </c>
      <c r="H276" s="39"/>
      <c r="I276" s="12">
        <f t="shared" si="4"/>
        <v>10275</v>
      </c>
    </row>
    <row r="277" spans="1:9">
      <c r="A277" s="2">
        <v>10276</v>
      </c>
      <c r="B277" s="39" t="s">
        <v>770</v>
      </c>
      <c r="C277" s="39" t="s">
        <v>771</v>
      </c>
      <c r="D277" s="65" t="s">
        <v>772</v>
      </c>
      <c r="E277" s="66">
        <v>38185</v>
      </c>
      <c r="F277" s="32">
        <v>76</v>
      </c>
      <c r="G277" s="39" t="s">
        <v>54</v>
      </c>
      <c r="H277" s="39"/>
      <c r="I277" s="12">
        <f t="shared" si="4"/>
        <v>10276</v>
      </c>
    </row>
    <row r="278" spans="1:9">
      <c r="A278" s="2">
        <v>10277</v>
      </c>
      <c r="B278" s="39" t="s">
        <v>773</v>
      </c>
      <c r="C278" s="39" t="s">
        <v>774</v>
      </c>
      <c r="D278" s="65" t="s">
        <v>775</v>
      </c>
      <c r="E278" s="66">
        <v>34350</v>
      </c>
      <c r="F278" s="32">
        <v>76</v>
      </c>
      <c r="G278" s="39" t="s">
        <v>54</v>
      </c>
      <c r="H278" s="39"/>
      <c r="I278" s="12">
        <f t="shared" si="4"/>
        <v>10277</v>
      </c>
    </row>
    <row r="279" spans="1:9">
      <c r="A279" s="2">
        <v>10278</v>
      </c>
      <c r="B279" s="39" t="s">
        <v>776</v>
      </c>
      <c r="C279" s="39" t="s">
        <v>110</v>
      </c>
      <c r="D279" s="65" t="s">
        <v>777</v>
      </c>
      <c r="E279" s="66">
        <v>36307</v>
      </c>
      <c r="F279" s="32">
        <v>48</v>
      </c>
      <c r="G279" s="39" t="s">
        <v>215</v>
      </c>
      <c r="H279" s="39"/>
      <c r="I279" s="12">
        <f t="shared" si="4"/>
        <v>10278</v>
      </c>
    </row>
    <row r="280" spans="1:9">
      <c r="A280" s="2">
        <v>10279</v>
      </c>
      <c r="B280" s="39" t="s">
        <v>778</v>
      </c>
      <c r="C280" s="39" t="s">
        <v>779</v>
      </c>
      <c r="D280" s="65" t="s">
        <v>780</v>
      </c>
      <c r="E280" s="66">
        <v>36635</v>
      </c>
      <c r="F280" s="32">
        <v>76</v>
      </c>
      <c r="G280" s="39" t="s">
        <v>54</v>
      </c>
      <c r="H280" s="39"/>
      <c r="I280" s="12">
        <f t="shared" si="4"/>
        <v>10279</v>
      </c>
    </row>
    <row r="281" spans="1:9">
      <c r="A281" s="2">
        <v>10280</v>
      </c>
      <c r="B281" s="39" t="s">
        <v>781</v>
      </c>
      <c r="C281" s="39" t="s">
        <v>118</v>
      </c>
      <c r="D281" s="65" t="s">
        <v>782</v>
      </c>
      <c r="E281" s="66">
        <v>36627</v>
      </c>
      <c r="F281" s="32">
        <v>76</v>
      </c>
      <c r="G281" s="39" t="s">
        <v>54</v>
      </c>
      <c r="H281" s="39" t="s">
        <v>55</v>
      </c>
      <c r="I281" s="12">
        <f t="shared" si="4"/>
        <v>10280</v>
      </c>
    </row>
    <row r="282" spans="1:9">
      <c r="A282" s="2">
        <v>10281</v>
      </c>
      <c r="B282" s="39" t="s">
        <v>783</v>
      </c>
      <c r="C282" s="39" t="s">
        <v>784</v>
      </c>
      <c r="D282" s="65" t="s">
        <v>785</v>
      </c>
      <c r="E282" s="66">
        <v>33475</v>
      </c>
      <c r="F282" s="32">
        <v>76</v>
      </c>
      <c r="G282" s="39" t="s">
        <v>215</v>
      </c>
      <c r="H282" s="39"/>
      <c r="I282" s="12">
        <f t="shared" si="4"/>
        <v>10281</v>
      </c>
    </row>
    <row r="283" spans="1:9">
      <c r="A283" s="2">
        <v>10282</v>
      </c>
      <c r="B283" s="39" t="s">
        <v>786</v>
      </c>
      <c r="C283" s="39" t="s">
        <v>787</v>
      </c>
      <c r="D283" s="65" t="s">
        <v>788</v>
      </c>
      <c r="E283" s="66">
        <v>34304</v>
      </c>
      <c r="F283" s="32">
        <v>76</v>
      </c>
      <c r="G283" s="39" t="s">
        <v>54</v>
      </c>
      <c r="H283" s="39"/>
      <c r="I283" s="12">
        <f t="shared" si="4"/>
        <v>10282</v>
      </c>
    </row>
    <row r="284" spans="1:9">
      <c r="A284" s="2">
        <v>10283</v>
      </c>
      <c r="B284" s="39" t="s">
        <v>789</v>
      </c>
      <c r="C284" s="39" t="s">
        <v>685</v>
      </c>
      <c r="D284" s="65" t="s">
        <v>790</v>
      </c>
      <c r="E284" s="66">
        <v>38543</v>
      </c>
      <c r="F284" s="32">
        <v>76</v>
      </c>
      <c r="G284" s="39" t="s">
        <v>215</v>
      </c>
      <c r="H284" s="39"/>
      <c r="I284" s="12">
        <f t="shared" si="4"/>
        <v>10283</v>
      </c>
    </row>
    <row r="285" spans="1:9">
      <c r="A285" s="2">
        <v>10284</v>
      </c>
      <c r="B285" s="39" t="s">
        <v>791</v>
      </c>
      <c r="C285" s="39" t="s">
        <v>588</v>
      </c>
      <c r="D285" s="65" t="s">
        <v>792</v>
      </c>
      <c r="E285" s="66">
        <v>37856</v>
      </c>
      <c r="F285" s="32">
        <v>48</v>
      </c>
      <c r="G285" s="39" t="s">
        <v>215</v>
      </c>
      <c r="H285" s="39"/>
      <c r="I285" s="12">
        <f t="shared" si="4"/>
        <v>10284</v>
      </c>
    </row>
    <row r="286" spans="1:9">
      <c r="A286" s="2">
        <v>10285</v>
      </c>
      <c r="B286" s="39" t="s">
        <v>793</v>
      </c>
      <c r="C286" s="39" t="s">
        <v>794</v>
      </c>
      <c r="D286" s="65" t="s">
        <v>795</v>
      </c>
      <c r="E286" s="66">
        <v>36639</v>
      </c>
      <c r="F286" s="32">
        <v>76</v>
      </c>
      <c r="G286" s="39" t="s">
        <v>215</v>
      </c>
      <c r="H286" s="39"/>
      <c r="I286" s="12">
        <f t="shared" si="4"/>
        <v>10285</v>
      </c>
    </row>
    <row r="287" spans="1:9">
      <c r="A287" s="2">
        <v>10286</v>
      </c>
      <c r="B287" s="39" t="s">
        <v>796</v>
      </c>
      <c r="C287" s="39" t="s">
        <v>797</v>
      </c>
      <c r="D287" s="65" t="s">
        <v>798</v>
      </c>
      <c r="E287" s="66">
        <v>34998</v>
      </c>
      <c r="F287" s="32">
        <v>48</v>
      </c>
      <c r="G287" s="39" t="s">
        <v>215</v>
      </c>
      <c r="H287" s="39"/>
      <c r="I287" s="12">
        <f t="shared" si="4"/>
        <v>10286</v>
      </c>
    </row>
    <row r="288" spans="1:9">
      <c r="A288" s="2">
        <v>10287</v>
      </c>
      <c r="B288" s="39" t="s">
        <v>799</v>
      </c>
      <c r="C288" s="39" t="s">
        <v>800</v>
      </c>
      <c r="D288" s="65" t="s">
        <v>801</v>
      </c>
      <c r="E288" s="66">
        <v>34921</v>
      </c>
      <c r="F288" s="32">
        <v>76</v>
      </c>
      <c r="G288" s="39" t="s">
        <v>215</v>
      </c>
      <c r="H288" s="39"/>
      <c r="I288" s="12">
        <f t="shared" si="4"/>
        <v>10287</v>
      </c>
    </row>
    <row r="289" spans="1:9">
      <c r="A289" s="2">
        <v>10288</v>
      </c>
      <c r="B289" s="39" t="s">
        <v>802</v>
      </c>
      <c r="C289" s="39" t="s">
        <v>803</v>
      </c>
      <c r="D289" s="65" t="s">
        <v>804</v>
      </c>
      <c r="E289" s="66">
        <v>38549</v>
      </c>
      <c r="F289" s="32">
        <v>76</v>
      </c>
      <c r="G289" s="39" t="s">
        <v>215</v>
      </c>
      <c r="H289" s="39"/>
      <c r="I289" s="12">
        <f t="shared" si="4"/>
        <v>10288</v>
      </c>
    </row>
    <row r="290" spans="1:9">
      <c r="A290" s="2">
        <v>10289</v>
      </c>
      <c r="B290" s="39" t="s">
        <v>805</v>
      </c>
      <c r="C290" s="39" t="s">
        <v>806</v>
      </c>
      <c r="D290" s="65" t="s">
        <v>807</v>
      </c>
      <c r="E290" s="66">
        <v>38544</v>
      </c>
      <c r="F290" s="32">
        <v>76</v>
      </c>
      <c r="G290" s="39" t="s">
        <v>54</v>
      </c>
      <c r="H290" s="39"/>
      <c r="I290" s="12">
        <f t="shared" si="4"/>
        <v>10289</v>
      </c>
    </row>
    <row r="291" spans="1:9">
      <c r="A291" s="2">
        <v>10290</v>
      </c>
      <c r="B291" s="39" t="s">
        <v>808</v>
      </c>
      <c r="C291" s="39" t="s">
        <v>809</v>
      </c>
      <c r="D291" s="65" t="s">
        <v>810</v>
      </c>
      <c r="E291" s="66">
        <v>35698</v>
      </c>
      <c r="F291" s="32">
        <v>48</v>
      </c>
      <c r="G291" s="39" t="s">
        <v>54</v>
      </c>
      <c r="H291" s="39"/>
      <c r="I291" s="12">
        <f t="shared" si="4"/>
        <v>10290</v>
      </c>
    </row>
    <row r="292" spans="1:9">
      <c r="A292" s="2">
        <v>10291</v>
      </c>
      <c r="B292" s="39" t="s">
        <v>811</v>
      </c>
      <c r="C292" s="39" t="s">
        <v>115</v>
      </c>
      <c r="D292" s="65" t="s">
        <v>812</v>
      </c>
      <c r="E292" s="66">
        <v>36922</v>
      </c>
      <c r="F292" s="32">
        <v>48</v>
      </c>
      <c r="G292" s="39" t="s">
        <v>54</v>
      </c>
      <c r="H292" s="39"/>
      <c r="I292" s="12">
        <f t="shared" si="4"/>
        <v>10291</v>
      </c>
    </row>
    <row r="293" spans="1:9">
      <c r="A293" s="2">
        <v>10292</v>
      </c>
      <c r="B293" s="39" t="s">
        <v>813</v>
      </c>
      <c r="C293" s="39" t="s">
        <v>185</v>
      </c>
      <c r="D293" s="65" t="s">
        <v>814</v>
      </c>
      <c r="E293" s="66">
        <v>36923</v>
      </c>
      <c r="F293" s="32">
        <v>48</v>
      </c>
      <c r="G293" s="39" t="s">
        <v>215</v>
      </c>
      <c r="H293" s="39"/>
      <c r="I293" s="12">
        <f t="shared" si="4"/>
        <v>10292</v>
      </c>
    </row>
    <row r="294" spans="1:9">
      <c r="A294" s="2">
        <v>10293</v>
      </c>
      <c r="B294" s="39" t="s">
        <v>219</v>
      </c>
      <c r="C294" s="39" t="s">
        <v>135</v>
      </c>
      <c r="D294" s="65" t="s">
        <v>815</v>
      </c>
      <c r="E294" s="66">
        <v>38664</v>
      </c>
      <c r="F294" s="32">
        <v>76</v>
      </c>
      <c r="G294" s="39" t="s">
        <v>215</v>
      </c>
      <c r="H294" s="39"/>
      <c r="I294" s="12">
        <f t="shared" si="4"/>
        <v>10293</v>
      </c>
    </row>
    <row r="295" spans="1:9">
      <c r="A295" s="2">
        <v>10294</v>
      </c>
      <c r="B295" s="39" t="s">
        <v>816</v>
      </c>
      <c r="C295" s="39" t="s">
        <v>817</v>
      </c>
      <c r="D295" s="65" t="s">
        <v>818</v>
      </c>
      <c r="E295" s="66">
        <v>38798</v>
      </c>
      <c r="F295" s="32">
        <v>76</v>
      </c>
      <c r="G295" s="39" t="s">
        <v>215</v>
      </c>
      <c r="H295" s="39"/>
      <c r="I295" s="12">
        <f t="shared" si="4"/>
        <v>10294</v>
      </c>
    </row>
    <row r="296" spans="1:9">
      <c r="A296" s="2">
        <v>10295</v>
      </c>
      <c r="B296" s="39" t="s">
        <v>819</v>
      </c>
      <c r="C296" s="39" t="s">
        <v>110</v>
      </c>
      <c r="D296" s="65" t="s">
        <v>820</v>
      </c>
      <c r="E296" s="66">
        <v>36234</v>
      </c>
      <c r="F296" s="32">
        <v>48</v>
      </c>
      <c r="G296" s="39" t="s">
        <v>54</v>
      </c>
      <c r="H296" s="39"/>
      <c r="I296" s="12">
        <f t="shared" si="4"/>
        <v>10295</v>
      </c>
    </row>
    <row r="297" spans="1:9">
      <c r="A297" s="2">
        <v>10296</v>
      </c>
      <c r="B297" s="39" t="s">
        <v>821</v>
      </c>
      <c r="C297" s="39" t="s">
        <v>115</v>
      </c>
      <c r="D297" s="65" t="s">
        <v>822</v>
      </c>
      <c r="E297" s="66">
        <v>35259</v>
      </c>
      <c r="F297" s="32">
        <v>76</v>
      </c>
      <c r="G297" s="39" t="s">
        <v>54</v>
      </c>
      <c r="H297" s="39"/>
      <c r="I297" s="12">
        <f t="shared" si="4"/>
        <v>10296</v>
      </c>
    </row>
    <row r="298" spans="1:9">
      <c r="A298" s="2">
        <v>10297</v>
      </c>
      <c r="B298" s="39" t="s">
        <v>823</v>
      </c>
      <c r="C298" s="39" t="s">
        <v>171</v>
      </c>
      <c r="D298" s="65" t="s">
        <v>824</v>
      </c>
      <c r="E298" s="66">
        <v>38499</v>
      </c>
      <c r="F298" s="32">
        <v>76</v>
      </c>
      <c r="G298" s="39" t="s">
        <v>215</v>
      </c>
      <c r="H298" s="39"/>
      <c r="I298" s="12">
        <f t="shared" si="4"/>
        <v>10297</v>
      </c>
    </row>
    <row r="299" spans="1:9">
      <c r="A299" s="2">
        <v>10298</v>
      </c>
      <c r="B299" s="39" t="s">
        <v>825</v>
      </c>
      <c r="C299" s="39" t="s">
        <v>57</v>
      </c>
      <c r="D299" s="65" t="s">
        <v>826</v>
      </c>
      <c r="E299" s="66">
        <v>34174</v>
      </c>
      <c r="F299" s="32">
        <v>76</v>
      </c>
      <c r="G299" s="39" t="s">
        <v>54</v>
      </c>
      <c r="H299" s="39"/>
      <c r="I299" s="12">
        <f t="shared" si="4"/>
        <v>10298</v>
      </c>
    </row>
    <row r="300" spans="1:9">
      <c r="A300" s="2">
        <v>10299</v>
      </c>
      <c r="B300" s="39" t="s">
        <v>827</v>
      </c>
      <c r="C300" s="39" t="s">
        <v>610</v>
      </c>
      <c r="D300" s="65" t="s">
        <v>828</v>
      </c>
      <c r="E300" s="66">
        <v>33976</v>
      </c>
      <c r="F300" s="32">
        <v>200</v>
      </c>
      <c r="G300" s="39" t="s">
        <v>71</v>
      </c>
      <c r="H300" s="39"/>
      <c r="I300" s="12">
        <f t="shared" si="4"/>
        <v>10299</v>
      </c>
    </row>
    <row r="301" spans="1:9">
      <c r="A301" s="2">
        <v>10300</v>
      </c>
      <c r="B301" s="39" t="s">
        <v>380</v>
      </c>
      <c r="C301" s="39" t="s">
        <v>829</v>
      </c>
      <c r="D301" s="65" t="s">
        <v>830</v>
      </c>
      <c r="E301" s="66">
        <v>36266</v>
      </c>
      <c r="F301" s="32">
        <v>48</v>
      </c>
      <c r="G301" s="39" t="s">
        <v>215</v>
      </c>
      <c r="H301" s="39"/>
      <c r="I301" s="12">
        <f t="shared" si="4"/>
        <v>10300</v>
      </c>
    </row>
    <row r="302" spans="1:9">
      <c r="A302" s="2">
        <v>10301</v>
      </c>
      <c r="B302" s="39" t="s">
        <v>831</v>
      </c>
      <c r="C302" s="39" t="s">
        <v>832</v>
      </c>
      <c r="D302" s="65" t="s">
        <v>833</v>
      </c>
      <c r="E302" s="66">
        <v>35887</v>
      </c>
      <c r="F302" s="32">
        <v>48</v>
      </c>
      <c r="G302" s="39" t="s">
        <v>54</v>
      </c>
      <c r="H302" s="39"/>
      <c r="I302" s="12">
        <f t="shared" si="4"/>
        <v>10301</v>
      </c>
    </row>
    <row r="303" spans="1:9">
      <c r="A303" s="2">
        <v>10302</v>
      </c>
      <c r="B303" s="39" t="s">
        <v>834</v>
      </c>
      <c r="C303" s="39" t="s">
        <v>835</v>
      </c>
      <c r="D303" s="65" t="s">
        <v>836</v>
      </c>
      <c r="E303" s="66">
        <v>38457</v>
      </c>
      <c r="F303" s="32">
        <v>48</v>
      </c>
      <c r="G303" s="39" t="s">
        <v>215</v>
      </c>
      <c r="H303" s="39"/>
      <c r="I303" s="12">
        <f t="shared" si="4"/>
        <v>10302</v>
      </c>
    </row>
    <row r="304" spans="1:9">
      <c r="A304" s="2">
        <v>10303</v>
      </c>
      <c r="B304" s="39" t="s">
        <v>837</v>
      </c>
      <c r="C304" s="39" t="s">
        <v>135</v>
      </c>
      <c r="D304" s="65" t="s">
        <v>838</v>
      </c>
      <c r="E304" s="66">
        <v>36259</v>
      </c>
      <c r="F304" s="32">
        <v>76</v>
      </c>
      <c r="G304" s="39" t="s">
        <v>215</v>
      </c>
      <c r="H304" s="39"/>
      <c r="I304" s="12">
        <f t="shared" si="4"/>
        <v>10303</v>
      </c>
    </row>
    <row r="305" spans="1:9">
      <c r="A305" s="2">
        <v>10304</v>
      </c>
      <c r="B305" s="39" t="s">
        <v>839</v>
      </c>
      <c r="C305" s="39" t="s">
        <v>98</v>
      </c>
      <c r="D305" s="65" t="s">
        <v>840</v>
      </c>
      <c r="E305" s="66">
        <v>36260</v>
      </c>
      <c r="F305" s="32">
        <v>76</v>
      </c>
      <c r="G305" s="39" t="s">
        <v>215</v>
      </c>
      <c r="H305" s="39"/>
      <c r="I305" s="12">
        <f t="shared" si="4"/>
        <v>10304</v>
      </c>
    </row>
    <row r="306" spans="1:9">
      <c r="A306" s="2">
        <v>10305</v>
      </c>
      <c r="B306" s="39" t="s">
        <v>841</v>
      </c>
      <c r="C306" s="39" t="s">
        <v>842</v>
      </c>
      <c r="D306" s="65" t="s">
        <v>843</v>
      </c>
      <c r="E306" s="66">
        <v>35763</v>
      </c>
      <c r="F306" s="32">
        <v>76</v>
      </c>
      <c r="G306" s="39" t="s">
        <v>215</v>
      </c>
      <c r="H306" s="39"/>
      <c r="I306" s="12">
        <f t="shared" si="4"/>
        <v>10305</v>
      </c>
    </row>
    <row r="307" spans="1:9">
      <c r="A307" s="2">
        <v>10306</v>
      </c>
      <c r="B307" s="39" t="s">
        <v>844</v>
      </c>
      <c r="C307" s="39" t="s">
        <v>454</v>
      </c>
      <c r="D307" s="65" t="s">
        <v>845</v>
      </c>
      <c r="E307" s="66">
        <v>37927</v>
      </c>
      <c r="F307" s="32">
        <v>48</v>
      </c>
      <c r="G307" s="39" t="s">
        <v>54</v>
      </c>
      <c r="H307" s="39" t="s">
        <v>55</v>
      </c>
      <c r="I307" s="12">
        <f t="shared" si="4"/>
        <v>10306</v>
      </c>
    </row>
    <row r="308" spans="1:9">
      <c r="A308" s="2">
        <v>10307</v>
      </c>
      <c r="B308" s="39" t="s">
        <v>846</v>
      </c>
      <c r="C308" s="39" t="s">
        <v>847</v>
      </c>
      <c r="D308" s="65" t="s">
        <v>848</v>
      </c>
      <c r="E308" s="66">
        <v>38353</v>
      </c>
      <c r="F308" s="32">
        <v>48</v>
      </c>
      <c r="G308" s="39" t="s">
        <v>54</v>
      </c>
      <c r="H308" s="39"/>
      <c r="I308" s="12">
        <f t="shared" si="4"/>
        <v>10307</v>
      </c>
    </row>
    <row r="309" spans="1:9">
      <c r="A309" s="2">
        <v>10308</v>
      </c>
      <c r="B309" s="39" t="s">
        <v>849</v>
      </c>
      <c r="C309" s="39" t="s">
        <v>598</v>
      </c>
      <c r="D309" s="65" t="s">
        <v>850</v>
      </c>
      <c r="E309" s="66">
        <v>29640</v>
      </c>
      <c r="F309" s="32">
        <v>200</v>
      </c>
      <c r="G309" s="39" t="s">
        <v>54</v>
      </c>
      <c r="H309" s="39"/>
      <c r="I309" s="12">
        <f t="shared" si="4"/>
        <v>10308</v>
      </c>
    </row>
    <row r="310" spans="1:9">
      <c r="A310" s="2">
        <v>10309</v>
      </c>
      <c r="B310" s="39" t="s">
        <v>851</v>
      </c>
      <c r="C310" s="39" t="s">
        <v>852</v>
      </c>
      <c r="D310" s="65" t="s">
        <v>853</v>
      </c>
      <c r="E310" s="66">
        <v>37121</v>
      </c>
      <c r="F310" s="32">
        <v>76</v>
      </c>
      <c r="G310" s="39" t="s">
        <v>54</v>
      </c>
      <c r="H310" s="39"/>
      <c r="I310" s="12">
        <f t="shared" si="4"/>
        <v>10309</v>
      </c>
    </row>
    <row r="311" spans="1:9">
      <c r="A311" s="2">
        <v>10310</v>
      </c>
      <c r="B311" s="39" t="s">
        <v>854</v>
      </c>
      <c r="C311" s="39" t="s">
        <v>855</v>
      </c>
      <c r="D311" s="65" t="s">
        <v>854</v>
      </c>
      <c r="E311" s="66">
        <v>38162</v>
      </c>
      <c r="F311" s="32">
        <v>76</v>
      </c>
      <c r="G311" s="39" t="s">
        <v>54</v>
      </c>
      <c r="H311" s="39"/>
      <c r="I311" s="12">
        <f t="shared" si="4"/>
        <v>10310</v>
      </c>
    </row>
    <row r="312" spans="1:9">
      <c r="A312" s="2">
        <v>10311</v>
      </c>
      <c r="B312" s="39" t="s">
        <v>322</v>
      </c>
      <c r="C312" s="39" t="s">
        <v>856</v>
      </c>
      <c r="D312" s="65" t="s">
        <v>857</v>
      </c>
      <c r="E312" s="66">
        <v>38269</v>
      </c>
      <c r="F312" s="32">
        <v>48</v>
      </c>
      <c r="G312" s="39" t="s">
        <v>54</v>
      </c>
      <c r="H312" s="39"/>
      <c r="I312" s="12">
        <f t="shared" si="4"/>
        <v>10311</v>
      </c>
    </row>
    <row r="313" spans="1:9">
      <c r="A313" s="2">
        <v>10312</v>
      </c>
      <c r="B313" s="39" t="s">
        <v>858</v>
      </c>
      <c r="C313" s="39" t="s">
        <v>260</v>
      </c>
      <c r="D313" s="65" t="s">
        <v>859</v>
      </c>
      <c r="E313" s="66">
        <v>37780</v>
      </c>
      <c r="F313" s="32">
        <v>48</v>
      </c>
      <c r="G313" s="39" t="s">
        <v>71</v>
      </c>
      <c r="H313" s="39"/>
      <c r="I313" s="12">
        <f t="shared" si="4"/>
        <v>10312</v>
      </c>
    </row>
    <row r="314" spans="1:9">
      <c r="A314" s="2">
        <v>10313</v>
      </c>
      <c r="B314" s="39" t="s">
        <v>860</v>
      </c>
      <c r="C314" s="39" t="s">
        <v>861</v>
      </c>
      <c r="D314" s="65" t="s">
        <v>862</v>
      </c>
      <c r="E314" s="66">
        <v>38087</v>
      </c>
      <c r="F314" s="32">
        <v>48</v>
      </c>
      <c r="G314" s="39" t="s">
        <v>71</v>
      </c>
      <c r="H314" s="39"/>
      <c r="I314" s="12">
        <f t="shared" si="4"/>
        <v>10313</v>
      </c>
    </row>
    <row r="315" spans="1:9">
      <c r="A315" s="2">
        <v>10314</v>
      </c>
      <c r="B315" s="39" t="s">
        <v>863</v>
      </c>
      <c r="C315" s="39" t="s">
        <v>864</v>
      </c>
      <c r="D315" s="65" t="s">
        <v>865</v>
      </c>
      <c r="E315" s="66">
        <v>38088</v>
      </c>
      <c r="F315" s="32">
        <v>48</v>
      </c>
      <c r="G315" s="39" t="s">
        <v>215</v>
      </c>
      <c r="H315" s="39"/>
      <c r="I315" s="12">
        <f t="shared" si="4"/>
        <v>10314</v>
      </c>
    </row>
    <row r="316" spans="1:9">
      <c r="A316" s="2">
        <v>210315</v>
      </c>
      <c r="B316" s="39" t="s">
        <v>866</v>
      </c>
      <c r="C316" s="39" t="s">
        <v>867</v>
      </c>
      <c r="D316" s="65" t="s">
        <v>867</v>
      </c>
      <c r="E316" s="66">
        <v>33240</v>
      </c>
      <c r="F316" s="32">
        <v>48</v>
      </c>
      <c r="G316" s="39" t="s">
        <v>215</v>
      </c>
      <c r="H316" s="39"/>
      <c r="I316" s="12">
        <f t="shared" si="4"/>
        <v>210315</v>
      </c>
    </row>
    <row r="317" spans="1:9">
      <c r="A317" s="2">
        <v>10316</v>
      </c>
      <c r="B317" s="39" t="s">
        <v>868</v>
      </c>
      <c r="C317" s="39" t="s">
        <v>869</v>
      </c>
      <c r="D317" s="65" t="s">
        <v>870</v>
      </c>
      <c r="E317" s="66">
        <v>33474</v>
      </c>
      <c r="F317" s="32">
        <v>48</v>
      </c>
      <c r="G317" s="39" t="s">
        <v>71</v>
      </c>
      <c r="H317" s="39"/>
      <c r="I317" s="12">
        <f t="shared" si="4"/>
        <v>10316</v>
      </c>
    </row>
    <row r="318" spans="1:9">
      <c r="A318" s="2">
        <v>10317</v>
      </c>
      <c r="B318" s="39" t="s">
        <v>871</v>
      </c>
      <c r="C318" s="39" t="s">
        <v>872</v>
      </c>
      <c r="D318" s="65" t="s">
        <v>873</v>
      </c>
      <c r="E318" s="66">
        <v>35245</v>
      </c>
      <c r="F318" s="32">
        <v>76</v>
      </c>
      <c r="G318" s="39" t="s">
        <v>71</v>
      </c>
      <c r="H318" s="39"/>
      <c r="I318" s="12">
        <f t="shared" si="4"/>
        <v>10317</v>
      </c>
    </row>
    <row r="319" spans="1:9">
      <c r="A319" s="2">
        <v>10318</v>
      </c>
      <c r="B319" s="39" t="s">
        <v>874</v>
      </c>
      <c r="C319" s="39" t="s">
        <v>126</v>
      </c>
      <c r="D319" s="65" t="s">
        <v>875</v>
      </c>
      <c r="E319" s="66">
        <v>37102</v>
      </c>
      <c r="F319" s="32">
        <v>48</v>
      </c>
      <c r="G319" s="39" t="s">
        <v>71</v>
      </c>
      <c r="H319" s="39"/>
      <c r="I319" s="12">
        <f t="shared" si="4"/>
        <v>10318</v>
      </c>
    </row>
    <row r="320" spans="1:9">
      <c r="A320" s="2">
        <v>10319</v>
      </c>
      <c r="B320" s="39" t="s">
        <v>876</v>
      </c>
      <c r="C320" s="39" t="s">
        <v>171</v>
      </c>
      <c r="D320" s="65" t="s">
        <v>877</v>
      </c>
      <c r="E320" s="66">
        <v>38585</v>
      </c>
      <c r="F320" s="32">
        <v>48</v>
      </c>
      <c r="G320" s="39" t="s">
        <v>71</v>
      </c>
      <c r="H320" s="39"/>
      <c r="I320" s="12">
        <f t="shared" si="4"/>
        <v>10319</v>
      </c>
    </row>
    <row r="321" spans="1:9">
      <c r="A321" s="2">
        <v>10320</v>
      </c>
      <c r="B321" s="39" t="s">
        <v>878</v>
      </c>
      <c r="C321" s="39" t="s">
        <v>189</v>
      </c>
      <c r="D321" s="65" t="s">
        <v>879</v>
      </c>
      <c r="E321" s="66">
        <v>35821</v>
      </c>
      <c r="F321" s="32">
        <v>48</v>
      </c>
      <c r="G321" s="39" t="s">
        <v>71</v>
      </c>
      <c r="H321" s="39"/>
      <c r="I321" s="12">
        <f t="shared" si="4"/>
        <v>10320</v>
      </c>
    </row>
    <row r="322" spans="1:9">
      <c r="A322" s="2">
        <v>210321</v>
      </c>
      <c r="B322" s="39" t="s">
        <v>880</v>
      </c>
      <c r="C322" s="39" t="s">
        <v>101</v>
      </c>
      <c r="D322" s="65" t="s">
        <v>881</v>
      </c>
      <c r="E322" s="66">
        <v>39646</v>
      </c>
      <c r="F322" s="32">
        <v>48</v>
      </c>
      <c r="G322" s="39" t="s">
        <v>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882</v>
      </c>
      <c r="C323" s="39" t="s">
        <v>110</v>
      </c>
      <c r="D323" s="67" t="s">
        <v>883</v>
      </c>
      <c r="E323" s="66">
        <v>36979</v>
      </c>
      <c r="F323" s="32">
        <v>48</v>
      </c>
      <c r="G323" s="39" t="s">
        <v>71</v>
      </c>
      <c r="H323" s="39"/>
      <c r="I323" s="12">
        <f t="shared" si="5"/>
        <v>10322</v>
      </c>
    </row>
    <row r="324" spans="1:9">
      <c r="A324" s="2">
        <v>10323</v>
      </c>
      <c r="B324" s="39" t="s">
        <v>884</v>
      </c>
      <c r="C324" s="39" t="s">
        <v>115</v>
      </c>
      <c r="D324" s="65" t="s">
        <v>885</v>
      </c>
      <c r="E324" s="66">
        <v>35397</v>
      </c>
      <c r="F324" s="32">
        <v>48</v>
      </c>
      <c r="G324" s="39" t="s">
        <v>71</v>
      </c>
      <c r="H324" s="39"/>
      <c r="I324" s="12">
        <f t="shared" si="5"/>
        <v>10323</v>
      </c>
    </row>
    <row r="325" spans="1:9">
      <c r="A325" s="2">
        <v>10324</v>
      </c>
      <c r="B325" s="39" t="s">
        <v>886</v>
      </c>
      <c r="C325" s="39" t="s">
        <v>118</v>
      </c>
      <c r="D325" s="65" t="s">
        <v>887</v>
      </c>
      <c r="E325" s="66">
        <v>32069</v>
      </c>
      <c r="F325" s="32">
        <v>200</v>
      </c>
      <c r="G325" s="39" t="s">
        <v>71</v>
      </c>
      <c r="H325" s="39"/>
      <c r="I325" s="12">
        <f t="shared" si="5"/>
        <v>10324</v>
      </c>
    </row>
    <row r="326" spans="1:9">
      <c r="A326" s="2">
        <v>210325</v>
      </c>
      <c r="B326" s="39" t="s">
        <v>888</v>
      </c>
      <c r="C326" s="39" t="s">
        <v>69</v>
      </c>
      <c r="D326" s="65" t="s">
        <v>889</v>
      </c>
      <c r="E326" s="66">
        <v>39255</v>
      </c>
      <c r="F326" s="32">
        <v>76</v>
      </c>
      <c r="G326" s="39" t="s">
        <v>71</v>
      </c>
      <c r="H326" s="39"/>
      <c r="I326" s="12">
        <f t="shared" si="5"/>
        <v>210325</v>
      </c>
    </row>
    <row r="327" spans="1:9">
      <c r="A327" s="2">
        <v>10326</v>
      </c>
      <c r="B327" s="39" t="s">
        <v>890</v>
      </c>
      <c r="C327" s="39" t="s">
        <v>891</v>
      </c>
      <c r="D327" s="65" t="s">
        <v>892</v>
      </c>
      <c r="E327" s="66">
        <v>38894</v>
      </c>
      <c r="F327" s="32">
        <v>76</v>
      </c>
      <c r="G327" s="39" t="s">
        <v>71</v>
      </c>
      <c r="H327" s="39"/>
      <c r="I327" s="12">
        <f t="shared" si="5"/>
        <v>10326</v>
      </c>
    </row>
    <row r="328" spans="1:9">
      <c r="A328" s="2">
        <v>10327</v>
      </c>
      <c r="B328" s="39" t="s">
        <v>893</v>
      </c>
      <c r="C328" s="39" t="s">
        <v>449</v>
      </c>
      <c r="D328" s="65" t="s">
        <v>894</v>
      </c>
      <c r="E328" s="66">
        <v>36469</v>
      </c>
      <c r="F328" s="32">
        <v>48</v>
      </c>
      <c r="G328" s="39" t="s">
        <v>71</v>
      </c>
      <c r="H328" s="39"/>
      <c r="I328" s="12">
        <f t="shared" si="5"/>
        <v>10327</v>
      </c>
    </row>
    <row r="329" spans="1:9">
      <c r="A329" s="2">
        <v>10328</v>
      </c>
      <c r="B329" s="39" t="s">
        <v>895</v>
      </c>
      <c r="C329" s="39" t="s">
        <v>126</v>
      </c>
      <c r="D329" s="65" t="s">
        <v>896</v>
      </c>
      <c r="E329" s="66">
        <v>35593</v>
      </c>
      <c r="F329" s="32">
        <v>48</v>
      </c>
      <c r="G329" s="39" t="s">
        <v>71</v>
      </c>
      <c r="H329" s="39"/>
      <c r="I329" s="12">
        <f t="shared" si="5"/>
        <v>10328</v>
      </c>
    </row>
    <row r="330" spans="1:9">
      <c r="A330" s="2">
        <v>10329</v>
      </c>
      <c r="B330" s="39" t="s">
        <v>897</v>
      </c>
      <c r="C330" s="39" t="s">
        <v>135</v>
      </c>
      <c r="D330" s="65" t="s">
        <v>898</v>
      </c>
      <c r="E330" s="66">
        <v>37827</v>
      </c>
      <c r="F330" s="32">
        <v>76</v>
      </c>
      <c r="G330" s="39" t="s">
        <v>71</v>
      </c>
      <c r="H330" s="39"/>
      <c r="I330" s="12">
        <f t="shared" si="5"/>
        <v>10329</v>
      </c>
    </row>
    <row r="331" spans="1:9">
      <c r="A331" s="2">
        <v>10330</v>
      </c>
      <c r="B331" s="39" t="s">
        <v>899</v>
      </c>
      <c r="C331" s="39" t="s">
        <v>306</v>
      </c>
      <c r="D331" s="65" t="s">
        <v>900</v>
      </c>
      <c r="E331" s="66">
        <v>38171</v>
      </c>
      <c r="F331" s="32">
        <v>76</v>
      </c>
      <c r="G331" s="39" t="s">
        <v>71</v>
      </c>
      <c r="H331" s="39"/>
      <c r="I331" s="12">
        <f t="shared" si="5"/>
        <v>10330</v>
      </c>
    </row>
    <row r="332" spans="1:9">
      <c r="A332" s="2">
        <v>10331</v>
      </c>
      <c r="B332" s="39" t="s">
        <v>901</v>
      </c>
      <c r="C332" s="39" t="s">
        <v>440</v>
      </c>
      <c r="D332" s="65" t="s">
        <v>902</v>
      </c>
      <c r="E332" s="66">
        <v>36427</v>
      </c>
      <c r="F332" s="32">
        <v>76</v>
      </c>
      <c r="G332" s="39" t="s">
        <v>71</v>
      </c>
      <c r="H332" s="39"/>
      <c r="I332" s="12">
        <f t="shared" si="5"/>
        <v>10331</v>
      </c>
    </row>
    <row r="333" spans="1:9">
      <c r="A333" s="2">
        <v>10332</v>
      </c>
      <c r="B333" s="39" t="s">
        <v>903</v>
      </c>
      <c r="C333" s="39" t="s">
        <v>904</v>
      </c>
      <c r="D333" s="65" t="s">
        <v>905</v>
      </c>
      <c r="E333" s="66">
        <v>35507</v>
      </c>
      <c r="F333" s="32">
        <v>76</v>
      </c>
      <c r="G333" s="39" t="s">
        <v>71</v>
      </c>
      <c r="H333" s="39"/>
      <c r="I333" s="12">
        <f t="shared" si="5"/>
        <v>10332</v>
      </c>
    </row>
    <row r="334" spans="1:9">
      <c r="A334" s="2">
        <v>10333</v>
      </c>
      <c r="B334" s="39" t="s">
        <v>906</v>
      </c>
      <c r="C334" s="39" t="s">
        <v>88</v>
      </c>
      <c r="D334" s="65" t="s">
        <v>907</v>
      </c>
      <c r="E334" s="66">
        <v>37236</v>
      </c>
      <c r="F334" s="32">
        <v>48</v>
      </c>
      <c r="G334" s="39" t="s">
        <v>71</v>
      </c>
      <c r="H334" s="39"/>
      <c r="I334" s="12">
        <f t="shared" si="5"/>
        <v>10333</v>
      </c>
    </row>
    <row r="335" spans="1:9">
      <c r="A335" s="2">
        <v>10334</v>
      </c>
      <c r="B335" s="39" t="s">
        <v>908</v>
      </c>
      <c r="C335" s="39" t="s">
        <v>752</v>
      </c>
      <c r="D335" s="65" t="s">
        <v>909</v>
      </c>
      <c r="E335" s="66">
        <v>37684</v>
      </c>
      <c r="F335" s="32">
        <v>76</v>
      </c>
      <c r="G335" s="39" t="s">
        <v>71</v>
      </c>
      <c r="H335" s="39"/>
      <c r="I335" s="12">
        <f t="shared" si="5"/>
        <v>10334</v>
      </c>
    </row>
    <row r="336" spans="1:9">
      <c r="A336" s="2">
        <v>10335</v>
      </c>
      <c r="B336" s="39" t="s">
        <v>910</v>
      </c>
      <c r="C336" s="39" t="s">
        <v>911</v>
      </c>
      <c r="D336" s="65" t="s">
        <v>912</v>
      </c>
      <c r="E336" s="66">
        <v>36668</v>
      </c>
      <c r="F336" s="32">
        <v>48</v>
      </c>
      <c r="G336" s="39" t="s">
        <v>71</v>
      </c>
      <c r="H336" s="39"/>
      <c r="I336" s="12">
        <f t="shared" si="5"/>
        <v>10335</v>
      </c>
    </row>
    <row r="337" spans="1:9">
      <c r="A337" s="2">
        <v>10336</v>
      </c>
      <c r="B337" s="39" t="s">
        <v>913</v>
      </c>
      <c r="C337" s="39" t="s">
        <v>914</v>
      </c>
      <c r="D337" s="65" t="s">
        <v>915</v>
      </c>
      <c r="E337" s="66">
        <v>38314</v>
      </c>
      <c r="F337" s="32">
        <v>48</v>
      </c>
      <c r="G337" s="39" t="s">
        <v>71</v>
      </c>
      <c r="H337" s="39"/>
      <c r="I337" s="12">
        <f t="shared" si="5"/>
        <v>10336</v>
      </c>
    </row>
    <row r="338" spans="1:9">
      <c r="A338" s="2">
        <v>10337</v>
      </c>
      <c r="B338" s="39" t="s">
        <v>916</v>
      </c>
      <c r="C338" s="39" t="s">
        <v>171</v>
      </c>
      <c r="D338" s="65" t="s">
        <v>917</v>
      </c>
      <c r="E338" s="66">
        <v>37666</v>
      </c>
      <c r="F338" s="32">
        <v>76</v>
      </c>
      <c r="G338" s="39" t="s">
        <v>71</v>
      </c>
      <c r="H338" s="39"/>
      <c r="I338" s="12">
        <f t="shared" si="5"/>
        <v>10337</v>
      </c>
    </row>
    <row r="339" spans="1:9">
      <c r="A339" s="2">
        <v>10338</v>
      </c>
      <c r="B339" s="39" t="s">
        <v>182</v>
      </c>
      <c r="C339" s="39" t="s">
        <v>202</v>
      </c>
      <c r="D339" s="65" t="s">
        <v>918</v>
      </c>
      <c r="E339" s="66">
        <v>36592</v>
      </c>
      <c r="F339" s="32">
        <v>76</v>
      </c>
      <c r="G339" s="39" t="s">
        <v>71</v>
      </c>
      <c r="H339" s="39"/>
      <c r="I339" s="12">
        <f t="shared" si="5"/>
        <v>10338</v>
      </c>
    </row>
    <row r="340" spans="1:9">
      <c r="A340" s="2">
        <v>10339</v>
      </c>
      <c r="B340" s="39" t="s">
        <v>919</v>
      </c>
      <c r="C340" s="39" t="s">
        <v>454</v>
      </c>
      <c r="D340" s="65" t="s">
        <v>920</v>
      </c>
      <c r="E340" s="66">
        <v>37665</v>
      </c>
      <c r="F340" s="32">
        <v>48</v>
      </c>
      <c r="G340" s="39" t="s">
        <v>71</v>
      </c>
      <c r="H340" s="39"/>
      <c r="I340" s="12">
        <f t="shared" si="5"/>
        <v>10339</v>
      </c>
    </row>
    <row r="341" spans="1:9">
      <c r="A341" s="2">
        <v>10340</v>
      </c>
      <c r="B341" s="39" t="s">
        <v>921</v>
      </c>
      <c r="C341" s="39" t="s">
        <v>115</v>
      </c>
      <c r="D341" s="65" t="s">
        <v>922</v>
      </c>
      <c r="E341" s="66">
        <v>38199</v>
      </c>
      <c r="F341" s="32">
        <v>76</v>
      </c>
      <c r="G341" s="39" t="s">
        <v>71</v>
      </c>
      <c r="H341" s="39"/>
      <c r="I341" s="12">
        <f t="shared" si="5"/>
        <v>10340</v>
      </c>
    </row>
    <row r="342" spans="1:9">
      <c r="A342" s="2">
        <v>10341</v>
      </c>
      <c r="B342" s="39" t="s">
        <v>923</v>
      </c>
      <c r="C342" s="39" t="s">
        <v>171</v>
      </c>
      <c r="D342" s="65" t="s">
        <v>924</v>
      </c>
      <c r="E342" s="66">
        <v>37703</v>
      </c>
      <c r="F342" s="32">
        <v>48</v>
      </c>
      <c r="G342" s="39" t="s">
        <v>71</v>
      </c>
      <c r="H342" s="39"/>
      <c r="I342" s="12">
        <f t="shared" si="5"/>
        <v>10341</v>
      </c>
    </row>
    <row r="343" spans="1:9">
      <c r="A343" s="2">
        <v>10342</v>
      </c>
      <c r="B343" s="39" t="s">
        <v>925</v>
      </c>
      <c r="C343" s="39" t="s">
        <v>926</v>
      </c>
      <c r="D343" s="65" t="s">
        <v>927</v>
      </c>
      <c r="E343" s="66">
        <v>38057</v>
      </c>
      <c r="F343" s="32">
        <v>48</v>
      </c>
      <c r="G343" s="39" t="s">
        <v>71</v>
      </c>
      <c r="H343" s="39"/>
      <c r="I343" s="12">
        <f t="shared" si="5"/>
        <v>10342</v>
      </c>
    </row>
    <row r="344" spans="1:9">
      <c r="A344" s="2">
        <v>10343</v>
      </c>
      <c r="B344" s="39" t="s">
        <v>928</v>
      </c>
      <c r="C344" s="39" t="s">
        <v>929</v>
      </c>
      <c r="D344" s="65" t="s">
        <v>930</v>
      </c>
      <c r="E344" s="66">
        <v>37927</v>
      </c>
      <c r="F344" s="32">
        <v>48</v>
      </c>
      <c r="G344" s="39" t="s">
        <v>71</v>
      </c>
      <c r="H344" s="39"/>
      <c r="I344" s="12">
        <f t="shared" si="5"/>
        <v>10343</v>
      </c>
    </row>
    <row r="345" spans="1:9">
      <c r="A345" s="2">
        <v>10344</v>
      </c>
      <c r="B345" s="39" t="s">
        <v>931</v>
      </c>
      <c r="C345" s="39" t="s">
        <v>932</v>
      </c>
      <c r="D345" s="65" t="s">
        <v>933</v>
      </c>
      <c r="E345" s="66">
        <v>34723</v>
      </c>
      <c r="F345" s="32">
        <v>48</v>
      </c>
      <c r="G345" s="39" t="s">
        <v>71</v>
      </c>
      <c r="H345" s="39"/>
      <c r="I345" s="12">
        <f t="shared" si="5"/>
        <v>10344</v>
      </c>
    </row>
    <row r="346" spans="1:9">
      <c r="A346" s="2">
        <v>10345</v>
      </c>
      <c r="B346" s="39" t="s">
        <v>934</v>
      </c>
      <c r="C346" s="39" t="s">
        <v>935</v>
      </c>
      <c r="D346" s="65" t="s">
        <v>936</v>
      </c>
      <c r="E346" s="66">
        <v>38423</v>
      </c>
      <c r="F346" s="32">
        <v>76</v>
      </c>
      <c r="G346" s="39" t="s">
        <v>54</v>
      </c>
      <c r="H346" s="39"/>
      <c r="I346" s="12">
        <f t="shared" si="5"/>
        <v>10345</v>
      </c>
    </row>
    <row r="347" spans="1:9">
      <c r="A347" s="2">
        <v>10346</v>
      </c>
      <c r="B347" s="39" t="s">
        <v>937</v>
      </c>
      <c r="C347" s="39" t="s">
        <v>938</v>
      </c>
      <c r="D347" s="65" t="s">
        <v>939</v>
      </c>
      <c r="E347" s="66">
        <v>36269</v>
      </c>
      <c r="F347" s="32">
        <v>48</v>
      </c>
      <c r="G347" s="39" t="s">
        <v>71</v>
      </c>
      <c r="H347" s="39"/>
      <c r="I347" s="12">
        <f t="shared" si="5"/>
        <v>10346</v>
      </c>
    </row>
    <row r="348" spans="1:9">
      <c r="A348" s="2">
        <v>10347</v>
      </c>
      <c r="B348" s="39" t="s">
        <v>940</v>
      </c>
      <c r="C348" s="39" t="s">
        <v>690</v>
      </c>
      <c r="D348" s="65" t="s">
        <v>941</v>
      </c>
      <c r="E348" s="66">
        <v>37609</v>
      </c>
      <c r="F348" s="32">
        <v>76</v>
      </c>
      <c r="G348" s="39" t="s">
        <v>71</v>
      </c>
      <c r="H348" s="39"/>
      <c r="I348" s="12">
        <f t="shared" si="5"/>
        <v>10347</v>
      </c>
    </row>
    <row r="349" spans="1:9">
      <c r="A349" s="2">
        <v>10348</v>
      </c>
      <c r="B349" s="39" t="s">
        <v>942</v>
      </c>
      <c r="C349" s="39" t="s">
        <v>943</v>
      </c>
      <c r="D349" s="65" t="s">
        <v>944</v>
      </c>
      <c r="E349" s="66">
        <v>34747</v>
      </c>
      <c r="F349" s="32">
        <v>76</v>
      </c>
      <c r="G349" s="39" t="s">
        <v>71</v>
      </c>
      <c r="H349" s="39"/>
      <c r="I349" s="12">
        <f t="shared" si="5"/>
        <v>10348</v>
      </c>
    </row>
    <row r="350" spans="1:9">
      <c r="A350" s="2">
        <v>10349</v>
      </c>
      <c r="B350" s="39" t="s">
        <v>945</v>
      </c>
      <c r="C350" s="39" t="s">
        <v>946</v>
      </c>
      <c r="D350" s="65" t="s">
        <v>947</v>
      </c>
      <c r="E350" s="66">
        <v>37825</v>
      </c>
      <c r="F350" s="32">
        <v>48</v>
      </c>
      <c r="G350" s="39" t="s">
        <v>71</v>
      </c>
      <c r="H350" s="39"/>
      <c r="I350" s="12">
        <f t="shared" si="5"/>
        <v>10349</v>
      </c>
    </row>
    <row r="351" spans="1:9">
      <c r="A351" s="2">
        <v>10350</v>
      </c>
      <c r="B351" s="39" t="s">
        <v>948</v>
      </c>
      <c r="C351" s="39" t="s">
        <v>949</v>
      </c>
      <c r="D351" s="65" t="s">
        <v>950</v>
      </c>
      <c r="E351" s="66">
        <v>36475</v>
      </c>
      <c r="F351" s="32">
        <v>76</v>
      </c>
      <c r="G351" s="39" t="s">
        <v>71</v>
      </c>
      <c r="H351" s="39"/>
      <c r="I351" s="12">
        <f t="shared" si="5"/>
        <v>10350</v>
      </c>
    </row>
    <row r="352" spans="1:9">
      <c r="A352" s="2">
        <v>10351</v>
      </c>
      <c r="B352" s="39" t="s">
        <v>951</v>
      </c>
      <c r="C352" s="39" t="s">
        <v>87</v>
      </c>
      <c r="D352" s="65" t="s">
        <v>952</v>
      </c>
      <c r="E352" s="66">
        <v>40023</v>
      </c>
      <c r="F352" s="32">
        <v>76</v>
      </c>
      <c r="G352" s="39" t="s">
        <v>71</v>
      </c>
      <c r="H352" s="39"/>
      <c r="I352" s="12">
        <f t="shared" si="5"/>
        <v>10351</v>
      </c>
    </row>
    <row r="353" spans="1:9">
      <c r="A353" s="2">
        <v>10352</v>
      </c>
      <c r="B353" s="39" t="s">
        <v>953</v>
      </c>
      <c r="C353" s="39" t="s">
        <v>954</v>
      </c>
      <c r="D353" s="65" t="s">
        <v>955</v>
      </c>
      <c r="E353" s="66">
        <v>37261</v>
      </c>
      <c r="F353" s="32">
        <v>48</v>
      </c>
      <c r="G353" s="39" t="s">
        <v>71</v>
      </c>
      <c r="H353" s="39"/>
      <c r="I353" s="12">
        <f t="shared" si="5"/>
        <v>10352</v>
      </c>
    </row>
    <row r="354" spans="1:9">
      <c r="A354" s="2">
        <v>10353</v>
      </c>
      <c r="B354" s="39" t="s">
        <v>956</v>
      </c>
      <c r="C354" s="39" t="s">
        <v>957</v>
      </c>
      <c r="D354" s="65" t="s">
        <v>958</v>
      </c>
      <c r="E354" s="66">
        <v>37103</v>
      </c>
      <c r="F354" s="32">
        <v>76</v>
      </c>
      <c r="G354" s="39" t="s">
        <v>71</v>
      </c>
      <c r="H354" s="39"/>
      <c r="I354" s="12">
        <f t="shared" si="5"/>
        <v>10353</v>
      </c>
    </row>
    <row r="355" spans="1:9">
      <c r="A355" s="2">
        <v>10354</v>
      </c>
      <c r="B355" s="39" t="s">
        <v>959</v>
      </c>
      <c r="C355" s="39" t="s">
        <v>69</v>
      </c>
      <c r="D355" s="65" t="s">
        <v>960</v>
      </c>
      <c r="E355" s="66">
        <v>36670</v>
      </c>
      <c r="F355" s="32">
        <v>48</v>
      </c>
      <c r="G355" s="39" t="s">
        <v>71</v>
      </c>
      <c r="H355" s="39"/>
      <c r="I355" s="12">
        <f t="shared" si="5"/>
        <v>10354</v>
      </c>
    </row>
    <row r="356" spans="1:9">
      <c r="A356" s="2">
        <v>10355</v>
      </c>
      <c r="B356" s="39" t="s">
        <v>961</v>
      </c>
      <c r="C356" s="39" t="s">
        <v>69</v>
      </c>
      <c r="D356" s="65" t="s">
        <v>962</v>
      </c>
      <c r="E356" s="66">
        <v>36804</v>
      </c>
      <c r="F356" s="32">
        <v>48</v>
      </c>
      <c r="G356" s="39" t="s">
        <v>71</v>
      </c>
      <c r="H356" s="39"/>
      <c r="I356" s="12">
        <f t="shared" si="5"/>
        <v>10355</v>
      </c>
    </row>
    <row r="357" spans="1:9">
      <c r="A357" s="2">
        <v>10356</v>
      </c>
      <c r="B357" s="39" t="s">
        <v>963</v>
      </c>
      <c r="C357" s="39" t="s">
        <v>964</v>
      </c>
      <c r="D357" s="65" t="s">
        <v>965</v>
      </c>
      <c r="E357" s="66">
        <v>38070</v>
      </c>
      <c r="F357" s="32">
        <v>48</v>
      </c>
      <c r="G357" s="39" t="s">
        <v>71</v>
      </c>
      <c r="H357" s="39"/>
      <c r="I357" s="12">
        <f t="shared" si="5"/>
        <v>10356</v>
      </c>
    </row>
    <row r="358" spans="1:9">
      <c r="A358" s="2">
        <v>10357</v>
      </c>
      <c r="B358" s="39" t="s">
        <v>966</v>
      </c>
      <c r="C358" s="39" t="s">
        <v>335</v>
      </c>
      <c r="D358" s="65" t="s">
        <v>967</v>
      </c>
      <c r="E358" s="66">
        <v>36997</v>
      </c>
      <c r="F358" s="32">
        <v>48</v>
      </c>
      <c r="G358" s="39" t="s">
        <v>71</v>
      </c>
      <c r="H358" s="39"/>
      <c r="I358" s="12">
        <f t="shared" si="5"/>
        <v>10357</v>
      </c>
    </row>
    <row r="359" spans="1:9">
      <c r="A359" s="2">
        <v>10358</v>
      </c>
      <c r="B359" s="39" t="s">
        <v>968</v>
      </c>
      <c r="C359" s="39" t="s">
        <v>969</v>
      </c>
      <c r="D359" s="65" t="s">
        <v>970</v>
      </c>
      <c r="E359" s="66">
        <v>36554</v>
      </c>
      <c r="F359" s="32">
        <v>76</v>
      </c>
      <c r="G359" s="39" t="s">
        <v>71</v>
      </c>
      <c r="H359" s="39"/>
      <c r="I359" s="12">
        <f t="shared" si="5"/>
        <v>10358</v>
      </c>
    </row>
    <row r="360" spans="1:9">
      <c r="A360" s="2">
        <v>10359</v>
      </c>
      <c r="B360" s="39" t="s">
        <v>971</v>
      </c>
      <c r="C360" s="39" t="s">
        <v>207</v>
      </c>
      <c r="D360" s="65" t="s">
        <v>972</v>
      </c>
      <c r="E360" s="66">
        <v>35237</v>
      </c>
      <c r="F360" s="32">
        <v>76</v>
      </c>
      <c r="G360" s="39" t="s">
        <v>71</v>
      </c>
      <c r="H360" s="39"/>
      <c r="I360" s="12">
        <f t="shared" si="5"/>
        <v>10359</v>
      </c>
    </row>
    <row r="361" spans="1:9">
      <c r="A361" s="2">
        <v>10360</v>
      </c>
      <c r="B361" s="39" t="s">
        <v>973</v>
      </c>
      <c r="C361" s="39" t="s">
        <v>974</v>
      </c>
      <c r="D361" s="65" t="s">
        <v>975</v>
      </c>
      <c r="E361" s="66">
        <v>38451</v>
      </c>
      <c r="F361" s="32">
        <v>76</v>
      </c>
      <c r="G361" s="39" t="s">
        <v>71</v>
      </c>
      <c r="H361" s="39"/>
      <c r="I361" s="12">
        <f t="shared" si="5"/>
        <v>10360</v>
      </c>
    </row>
    <row r="362" spans="1:9">
      <c r="A362" s="2">
        <v>10361</v>
      </c>
      <c r="B362" s="39" t="s">
        <v>976</v>
      </c>
      <c r="C362" s="39" t="s">
        <v>977</v>
      </c>
      <c r="D362" s="65" t="s">
        <v>978</v>
      </c>
      <c r="E362" s="66">
        <v>38922</v>
      </c>
      <c r="F362" s="32">
        <v>76</v>
      </c>
      <c r="G362" s="39" t="s">
        <v>71</v>
      </c>
      <c r="H362" s="39"/>
      <c r="I362" s="12">
        <f t="shared" si="5"/>
        <v>10361</v>
      </c>
    </row>
    <row r="363" spans="1:9">
      <c r="A363" s="2">
        <v>10362</v>
      </c>
      <c r="B363" s="39" t="s">
        <v>979</v>
      </c>
      <c r="C363" s="39" t="s">
        <v>980</v>
      </c>
      <c r="D363" s="65" t="s">
        <v>981</v>
      </c>
      <c r="E363" s="66">
        <v>37185</v>
      </c>
      <c r="F363" s="32">
        <v>76</v>
      </c>
      <c r="G363" s="39" t="s">
        <v>71</v>
      </c>
      <c r="H363" s="39"/>
      <c r="I363" s="12">
        <f t="shared" si="5"/>
        <v>10362</v>
      </c>
    </row>
    <row r="364" spans="1:9">
      <c r="A364" s="2">
        <v>10363</v>
      </c>
      <c r="B364" s="39" t="s">
        <v>982</v>
      </c>
      <c r="C364" s="39" t="s">
        <v>983</v>
      </c>
      <c r="D364" s="65" t="s">
        <v>984</v>
      </c>
      <c r="E364" s="66">
        <v>36126</v>
      </c>
      <c r="F364" s="32">
        <v>48</v>
      </c>
      <c r="G364" s="39" t="s">
        <v>71</v>
      </c>
      <c r="H364" s="39"/>
      <c r="I364" s="12">
        <f t="shared" si="5"/>
        <v>10363</v>
      </c>
    </row>
    <row r="365" spans="1:9">
      <c r="A365" s="2">
        <v>10364</v>
      </c>
      <c r="B365" s="39" t="s">
        <v>985</v>
      </c>
      <c r="C365" s="39" t="s">
        <v>986</v>
      </c>
      <c r="D365" s="65" t="s">
        <v>987</v>
      </c>
      <c r="E365" s="66">
        <v>35000</v>
      </c>
      <c r="F365" s="32">
        <v>76</v>
      </c>
      <c r="G365" s="39" t="s">
        <v>71</v>
      </c>
      <c r="H365" s="39"/>
      <c r="I365" s="12">
        <f t="shared" si="5"/>
        <v>10364</v>
      </c>
    </row>
    <row r="366" spans="1:9">
      <c r="A366" s="2">
        <v>10365</v>
      </c>
      <c r="B366" s="39" t="s">
        <v>988</v>
      </c>
      <c r="C366" s="39" t="s">
        <v>52</v>
      </c>
      <c r="D366" s="65" t="s">
        <v>989</v>
      </c>
      <c r="E366" s="66">
        <v>38058</v>
      </c>
      <c r="F366" s="32">
        <v>76</v>
      </c>
      <c r="G366" s="39" t="s">
        <v>71</v>
      </c>
      <c r="H366" s="39"/>
      <c r="I366" s="12">
        <f t="shared" si="5"/>
        <v>10365</v>
      </c>
    </row>
    <row r="367" spans="1:9">
      <c r="A367" s="2">
        <v>10366</v>
      </c>
      <c r="B367" s="39" t="s">
        <v>990</v>
      </c>
      <c r="C367" s="39" t="s">
        <v>991</v>
      </c>
      <c r="D367" s="65" t="s">
        <v>992</v>
      </c>
      <c r="E367" s="66">
        <v>38603</v>
      </c>
      <c r="F367" s="32">
        <v>48</v>
      </c>
      <c r="G367" s="39" t="s">
        <v>71</v>
      </c>
      <c r="H367" s="39"/>
      <c r="I367" s="12">
        <f t="shared" si="5"/>
        <v>10366</v>
      </c>
    </row>
    <row r="368" spans="1:9">
      <c r="A368" s="2">
        <v>10367</v>
      </c>
      <c r="B368" s="67" t="s">
        <v>626</v>
      </c>
      <c r="C368" s="67" t="s">
        <v>993</v>
      </c>
      <c r="D368" s="67" t="s">
        <v>994</v>
      </c>
      <c r="E368" s="66">
        <v>38591</v>
      </c>
      <c r="F368" s="32">
        <v>48</v>
      </c>
      <c r="G368" s="39" t="s">
        <v>71</v>
      </c>
      <c r="H368" s="39"/>
      <c r="I368" s="12">
        <f t="shared" si="5"/>
        <v>10367</v>
      </c>
    </row>
    <row r="369" spans="1:9">
      <c r="A369" s="2">
        <v>10368</v>
      </c>
      <c r="B369" s="39" t="s">
        <v>392</v>
      </c>
      <c r="C369" s="39" t="s">
        <v>986</v>
      </c>
      <c r="D369" s="65" t="s">
        <v>995</v>
      </c>
      <c r="E369" s="66">
        <v>35836</v>
      </c>
      <c r="F369" s="32">
        <v>76</v>
      </c>
      <c r="G369" s="39" t="s">
        <v>71</v>
      </c>
      <c r="H369" s="39"/>
      <c r="I369" s="12">
        <f t="shared" si="5"/>
        <v>10368</v>
      </c>
    </row>
    <row r="370" spans="1:9">
      <c r="A370" s="2">
        <v>10369</v>
      </c>
      <c r="B370" s="39" t="s">
        <v>996</v>
      </c>
      <c r="C370" s="39" t="s">
        <v>549</v>
      </c>
      <c r="D370" s="65" t="s">
        <v>997</v>
      </c>
      <c r="E370" s="66">
        <v>33016</v>
      </c>
      <c r="F370" s="32">
        <v>76</v>
      </c>
      <c r="G370" s="39" t="s">
        <v>71</v>
      </c>
      <c r="H370" s="39"/>
      <c r="I370" s="12">
        <f t="shared" si="5"/>
        <v>10369</v>
      </c>
    </row>
    <row r="371" spans="1:9">
      <c r="A371" s="2">
        <v>10370</v>
      </c>
      <c r="B371" s="39" t="s">
        <v>998</v>
      </c>
      <c r="C371" s="39" t="s">
        <v>88</v>
      </c>
      <c r="D371" s="65" t="s">
        <v>999</v>
      </c>
      <c r="E371" s="66">
        <v>35639</v>
      </c>
      <c r="F371" s="32">
        <v>76</v>
      </c>
      <c r="G371" s="39" t="s">
        <v>71</v>
      </c>
      <c r="H371" s="39"/>
      <c r="I371" s="12">
        <f t="shared" si="5"/>
        <v>10370</v>
      </c>
    </row>
    <row r="372" spans="1:9">
      <c r="A372" s="2">
        <v>10371</v>
      </c>
      <c r="B372" s="39" t="s">
        <v>1000</v>
      </c>
      <c r="C372" s="39" t="s">
        <v>1001</v>
      </c>
      <c r="D372" s="65" t="s">
        <v>1002</v>
      </c>
      <c r="E372" s="66">
        <v>36214</v>
      </c>
      <c r="F372" s="32">
        <v>48</v>
      </c>
      <c r="G372" s="39" t="s">
        <v>71</v>
      </c>
      <c r="H372" s="39"/>
      <c r="I372" s="12">
        <f t="shared" si="5"/>
        <v>10371</v>
      </c>
    </row>
    <row r="373" spans="1:9">
      <c r="A373" s="2">
        <v>10372</v>
      </c>
      <c r="B373" s="39" t="s">
        <v>1003</v>
      </c>
      <c r="C373" s="39" t="s">
        <v>107</v>
      </c>
      <c r="D373" s="65" t="s">
        <v>1004</v>
      </c>
      <c r="E373" s="66">
        <v>25190</v>
      </c>
      <c r="F373" s="32">
        <v>76</v>
      </c>
      <c r="G373" s="39" t="s">
        <v>71</v>
      </c>
      <c r="H373" s="39"/>
      <c r="I373" s="12">
        <f t="shared" si="5"/>
        <v>10372</v>
      </c>
    </row>
    <row r="374" spans="1:9">
      <c r="A374" s="2">
        <v>10373</v>
      </c>
      <c r="B374" s="39" t="s">
        <v>1005</v>
      </c>
      <c r="C374" s="39" t="s">
        <v>1006</v>
      </c>
      <c r="D374" s="65" t="s">
        <v>1007</v>
      </c>
      <c r="E374" s="66">
        <v>37583</v>
      </c>
      <c r="F374" s="32">
        <v>76</v>
      </c>
      <c r="G374" s="39" t="s">
        <v>71</v>
      </c>
      <c r="H374" s="39"/>
      <c r="I374" s="12">
        <f t="shared" si="5"/>
        <v>10373</v>
      </c>
    </row>
    <row r="375" spans="1:9">
      <c r="A375" s="2">
        <v>10374</v>
      </c>
      <c r="B375" s="39" t="s">
        <v>1008</v>
      </c>
      <c r="C375" s="39" t="s">
        <v>118</v>
      </c>
      <c r="D375" s="65" t="s">
        <v>1009</v>
      </c>
      <c r="E375" s="66">
        <v>37013</v>
      </c>
      <c r="F375" s="32">
        <v>48</v>
      </c>
      <c r="G375" s="39" t="s">
        <v>71</v>
      </c>
      <c r="H375" s="39"/>
      <c r="I375" s="12">
        <f t="shared" si="5"/>
        <v>10374</v>
      </c>
    </row>
    <row r="376" spans="1:9">
      <c r="A376" s="2">
        <v>10375</v>
      </c>
      <c r="B376" s="39" t="s">
        <v>1010</v>
      </c>
      <c r="C376" s="39" t="s">
        <v>1011</v>
      </c>
      <c r="D376" s="65" t="s">
        <v>38</v>
      </c>
      <c r="E376" s="66">
        <v>37310</v>
      </c>
      <c r="F376" s="32">
        <v>48</v>
      </c>
      <c r="G376" s="39" t="s">
        <v>71</v>
      </c>
      <c r="H376" s="39"/>
      <c r="I376" s="12">
        <f t="shared" si="5"/>
        <v>10375</v>
      </c>
    </row>
    <row r="377" spans="1:9">
      <c r="A377" s="2">
        <v>10376</v>
      </c>
      <c r="B377" s="39" t="s">
        <v>1012</v>
      </c>
      <c r="C377" s="39" t="s">
        <v>135</v>
      </c>
      <c r="D377" s="65" t="s">
        <v>1013</v>
      </c>
      <c r="E377" s="66">
        <v>38021</v>
      </c>
      <c r="F377" s="32">
        <v>48</v>
      </c>
      <c r="G377" s="39" t="s">
        <v>71</v>
      </c>
      <c r="H377" s="39"/>
      <c r="I377" s="12">
        <f t="shared" si="5"/>
        <v>10376</v>
      </c>
    </row>
    <row r="378" spans="1:9">
      <c r="A378" s="2">
        <v>10377</v>
      </c>
      <c r="B378" s="39" t="s">
        <v>1014</v>
      </c>
      <c r="C378" s="39" t="s">
        <v>1015</v>
      </c>
      <c r="D378" s="65" t="s">
        <v>1016</v>
      </c>
      <c r="E378" s="66">
        <v>34737</v>
      </c>
      <c r="F378" s="32">
        <v>76</v>
      </c>
      <c r="G378" s="39" t="s">
        <v>71</v>
      </c>
      <c r="H378" s="39"/>
      <c r="I378" s="12">
        <f t="shared" si="5"/>
        <v>10377</v>
      </c>
    </row>
    <row r="379" spans="1:9">
      <c r="A379" s="2">
        <v>10378</v>
      </c>
      <c r="B379" s="39" t="s">
        <v>1017</v>
      </c>
      <c r="C379" s="39" t="s">
        <v>1018</v>
      </c>
      <c r="D379" s="65" t="s">
        <v>1019</v>
      </c>
      <c r="E379" s="66">
        <v>36452</v>
      </c>
      <c r="F379" s="32">
        <v>48</v>
      </c>
      <c r="G379" s="39" t="s">
        <v>71</v>
      </c>
      <c r="H379" s="39"/>
      <c r="I379" s="12">
        <f t="shared" si="5"/>
        <v>10378</v>
      </c>
    </row>
    <row r="380" spans="1:9">
      <c r="A380" s="2">
        <v>10379</v>
      </c>
      <c r="B380" s="39" t="s">
        <v>1020</v>
      </c>
      <c r="C380" s="39" t="s">
        <v>1021</v>
      </c>
      <c r="D380" s="65" t="s">
        <v>1022</v>
      </c>
      <c r="E380" s="66">
        <v>38449</v>
      </c>
      <c r="F380" s="32">
        <v>48</v>
      </c>
      <c r="G380" s="39" t="s">
        <v>71</v>
      </c>
      <c r="H380" s="39"/>
      <c r="I380" s="12">
        <f t="shared" si="5"/>
        <v>10379</v>
      </c>
    </row>
    <row r="381" spans="1:9">
      <c r="A381" s="2">
        <v>210380</v>
      </c>
      <c r="B381" s="39" t="s">
        <v>1023</v>
      </c>
      <c r="C381" s="39" t="s">
        <v>1024</v>
      </c>
      <c r="D381" s="65" t="s">
        <v>1025</v>
      </c>
      <c r="E381" s="66">
        <v>38576</v>
      </c>
      <c r="F381" s="32">
        <v>76</v>
      </c>
      <c r="G381" s="39" t="s">
        <v>71</v>
      </c>
      <c r="H381" s="39"/>
      <c r="I381" s="12">
        <f t="shared" si="5"/>
        <v>210380</v>
      </c>
    </row>
    <row r="382" spans="1:9">
      <c r="A382" s="2">
        <v>10381</v>
      </c>
      <c r="B382" s="39" t="s">
        <v>1026</v>
      </c>
      <c r="C382" s="39" t="s">
        <v>135</v>
      </c>
      <c r="D382" s="65" t="s">
        <v>1027</v>
      </c>
      <c r="E382" s="66">
        <v>38241</v>
      </c>
      <c r="F382" s="32">
        <v>48</v>
      </c>
      <c r="G382" s="39" t="s">
        <v>71</v>
      </c>
      <c r="H382" s="39"/>
      <c r="I382" s="12">
        <f t="shared" si="5"/>
        <v>10381</v>
      </c>
    </row>
    <row r="383" spans="1:9">
      <c r="A383" s="2">
        <v>10382</v>
      </c>
      <c r="B383" s="39" t="s">
        <v>1028</v>
      </c>
      <c r="C383" s="39" t="s">
        <v>1029</v>
      </c>
      <c r="D383" s="65" t="s">
        <v>1030</v>
      </c>
      <c r="E383" s="66">
        <v>37906</v>
      </c>
      <c r="F383" s="32">
        <v>76</v>
      </c>
      <c r="G383" s="39" t="s">
        <v>71</v>
      </c>
      <c r="H383" s="39"/>
      <c r="I383" s="12">
        <f t="shared" si="5"/>
        <v>10382</v>
      </c>
    </row>
    <row r="384" spans="1:9">
      <c r="A384" s="2">
        <v>210383</v>
      </c>
      <c r="B384" s="39" t="s">
        <v>1031</v>
      </c>
      <c r="C384" s="39" t="s">
        <v>314</v>
      </c>
      <c r="D384" s="65" t="s">
        <v>1032</v>
      </c>
      <c r="E384" s="66">
        <v>38255</v>
      </c>
      <c r="F384" s="32">
        <v>76</v>
      </c>
      <c r="G384" s="39" t="s">
        <v>71</v>
      </c>
      <c r="H384" s="39"/>
      <c r="I384" s="12">
        <f t="shared" si="5"/>
        <v>210383</v>
      </c>
    </row>
    <row r="385" spans="1:9">
      <c r="A385" s="2">
        <v>10384</v>
      </c>
      <c r="B385" s="39" t="s">
        <v>1033</v>
      </c>
      <c r="C385" s="39" t="s">
        <v>1034</v>
      </c>
      <c r="D385" s="65" t="s">
        <v>1035</v>
      </c>
      <c r="E385" s="66">
        <v>38335</v>
      </c>
      <c r="F385" s="32">
        <v>76</v>
      </c>
      <c r="G385" s="39" t="s">
        <v>71</v>
      </c>
      <c r="H385" s="39"/>
      <c r="I385" s="12">
        <f t="shared" si="5"/>
        <v>10384</v>
      </c>
    </row>
    <row r="386" spans="1:9">
      <c r="A386" s="2">
        <v>10385</v>
      </c>
      <c r="B386" s="39" t="s">
        <v>1036</v>
      </c>
      <c r="C386" s="39" t="s">
        <v>1037</v>
      </c>
      <c r="D386" s="65" t="s">
        <v>1038</v>
      </c>
      <c r="E386" s="66">
        <v>38591</v>
      </c>
      <c r="F386" s="32">
        <v>48</v>
      </c>
      <c r="G386" s="39" t="s">
        <v>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1039</v>
      </c>
      <c r="C387" s="39" t="s">
        <v>1040</v>
      </c>
      <c r="D387" s="65" t="s">
        <v>1041</v>
      </c>
      <c r="E387" s="66">
        <v>35963</v>
      </c>
      <c r="F387" s="32">
        <v>48</v>
      </c>
      <c r="G387" s="39" t="s">
        <v>71</v>
      </c>
      <c r="H387" s="39"/>
      <c r="I387" s="12">
        <f t="shared" si="6"/>
        <v>10386</v>
      </c>
    </row>
    <row r="388" spans="1:9">
      <c r="A388" s="2">
        <v>10387</v>
      </c>
      <c r="B388" s="39" t="s">
        <v>690</v>
      </c>
      <c r="C388" s="39" t="s">
        <v>135</v>
      </c>
      <c r="D388" s="65" t="s">
        <v>1042</v>
      </c>
      <c r="E388" s="66">
        <v>37857</v>
      </c>
      <c r="F388" s="32">
        <v>48</v>
      </c>
      <c r="G388" s="39" t="s">
        <v>71</v>
      </c>
      <c r="H388" s="39"/>
      <c r="I388" s="12">
        <f t="shared" si="6"/>
        <v>10387</v>
      </c>
    </row>
    <row r="389" spans="1:9">
      <c r="A389" s="2">
        <v>10388</v>
      </c>
      <c r="B389" s="39" t="s">
        <v>1043</v>
      </c>
      <c r="C389" s="39" t="s">
        <v>306</v>
      </c>
      <c r="D389" s="65" t="s">
        <v>36</v>
      </c>
      <c r="E389" s="66">
        <v>37824</v>
      </c>
      <c r="F389" s="32">
        <v>76</v>
      </c>
      <c r="G389" s="39" t="s">
        <v>71</v>
      </c>
      <c r="H389" s="39"/>
      <c r="I389" s="12">
        <f t="shared" si="6"/>
        <v>10388</v>
      </c>
    </row>
    <row r="390" spans="1:9">
      <c r="A390" s="2">
        <v>10389</v>
      </c>
      <c r="B390" s="39" t="s">
        <v>1044</v>
      </c>
      <c r="C390" s="39" t="s">
        <v>549</v>
      </c>
      <c r="D390" s="65" t="s">
        <v>1045</v>
      </c>
      <c r="E390" s="66">
        <v>38379</v>
      </c>
      <c r="F390" s="32">
        <v>48</v>
      </c>
      <c r="G390" s="39" t="s">
        <v>71</v>
      </c>
      <c r="H390" s="39"/>
      <c r="I390" s="12">
        <f t="shared" si="6"/>
        <v>10389</v>
      </c>
    </row>
    <row r="391" spans="1:9">
      <c r="A391" s="2">
        <v>10390</v>
      </c>
      <c r="B391" s="39" t="s">
        <v>1046</v>
      </c>
      <c r="C391" s="39" t="s">
        <v>690</v>
      </c>
      <c r="D391" s="65" t="s">
        <v>1047</v>
      </c>
      <c r="E391" s="66">
        <v>36756</v>
      </c>
      <c r="F391" s="32">
        <v>48</v>
      </c>
      <c r="G391" s="39" t="s">
        <v>71</v>
      </c>
      <c r="H391" s="39"/>
      <c r="I391" s="12">
        <f t="shared" si="6"/>
        <v>10390</v>
      </c>
    </row>
    <row r="392" spans="1:9">
      <c r="A392" s="2">
        <v>210391</v>
      </c>
      <c r="B392" s="39" t="s">
        <v>937</v>
      </c>
      <c r="C392" s="39" t="s">
        <v>1048</v>
      </c>
      <c r="D392" s="65" t="s">
        <v>1049</v>
      </c>
      <c r="E392" s="66">
        <v>35143</v>
      </c>
      <c r="F392" s="32">
        <v>48</v>
      </c>
      <c r="G392" s="39" t="s">
        <v>71</v>
      </c>
      <c r="H392" s="39"/>
      <c r="I392" s="12">
        <f t="shared" si="6"/>
        <v>210391</v>
      </c>
    </row>
    <row r="393" spans="1:9">
      <c r="A393" s="2">
        <v>210392</v>
      </c>
      <c r="B393" s="39" t="s">
        <v>1050</v>
      </c>
      <c r="C393" s="39" t="s">
        <v>314</v>
      </c>
      <c r="D393" s="65" t="s">
        <v>1051</v>
      </c>
      <c r="E393" s="66">
        <v>38083</v>
      </c>
      <c r="F393" s="32">
        <v>76</v>
      </c>
      <c r="G393" s="39" t="s">
        <v>71</v>
      </c>
      <c r="H393" s="39"/>
      <c r="I393" s="12">
        <f t="shared" si="6"/>
        <v>210392</v>
      </c>
    </row>
    <row r="394" spans="1:9">
      <c r="A394" s="2">
        <v>10393</v>
      </c>
      <c r="B394" s="39" t="s">
        <v>1052</v>
      </c>
      <c r="C394" s="39" t="s">
        <v>207</v>
      </c>
      <c r="D394" s="65" t="s">
        <v>1053</v>
      </c>
      <c r="E394" s="66">
        <v>34197</v>
      </c>
      <c r="F394" s="32">
        <v>76</v>
      </c>
      <c r="G394" s="39" t="s">
        <v>71</v>
      </c>
      <c r="H394" s="39"/>
      <c r="I394" s="12">
        <f t="shared" si="6"/>
        <v>10393</v>
      </c>
    </row>
    <row r="395" spans="1:9">
      <c r="A395" s="2">
        <v>10394</v>
      </c>
      <c r="B395" s="39" t="s">
        <v>1054</v>
      </c>
      <c r="C395" s="39" t="s">
        <v>199</v>
      </c>
      <c r="D395" s="65" t="s">
        <v>1055</v>
      </c>
      <c r="E395" s="66">
        <v>37176</v>
      </c>
      <c r="F395" s="32">
        <v>48</v>
      </c>
      <c r="G395" s="39" t="s">
        <v>71</v>
      </c>
      <c r="H395" s="39"/>
      <c r="I395" s="12">
        <f t="shared" si="6"/>
        <v>10394</v>
      </c>
    </row>
    <row r="396" spans="1:9">
      <c r="A396" s="2">
        <v>210395</v>
      </c>
      <c r="B396" s="39" t="s">
        <v>1056</v>
      </c>
      <c r="C396" s="39" t="s">
        <v>1057</v>
      </c>
      <c r="D396" s="65" t="s">
        <v>1058</v>
      </c>
      <c r="E396" s="66">
        <v>38424</v>
      </c>
      <c r="F396" s="32">
        <v>48</v>
      </c>
      <c r="G396" s="39" t="s">
        <v>71</v>
      </c>
      <c r="H396" s="39"/>
      <c r="I396" s="12">
        <f t="shared" si="6"/>
        <v>210395</v>
      </c>
    </row>
    <row r="397" spans="1:9">
      <c r="A397" s="2">
        <v>210396</v>
      </c>
      <c r="B397" s="39" t="s">
        <v>1059</v>
      </c>
      <c r="C397" s="39" t="s">
        <v>522</v>
      </c>
      <c r="D397" s="65" t="s">
        <v>1060</v>
      </c>
      <c r="E397" s="66">
        <v>38425</v>
      </c>
      <c r="F397" s="32">
        <v>48</v>
      </c>
      <c r="G397" s="39" t="s">
        <v>71</v>
      </c>
      <c r="H397" s="39"/>
      <c r="I397" s="12">
        <f t="shared" si="6"/>
        <v>210396</v>
      </c>
    </row>
    <row r="398" spans="1:9">
      <c r="A398" s="2">
        <v>10397</v>
      </c>
      <c r="B398" s="39" t="s">
        <v>1061</v>
      </c>
      <c r="C398" s="39" t="s">
        <v>1062</v>
      </c>
      <c r="D398" s="65" t="s">
        <v>1063</v>
      </c>
      <c r="E398" s="66">
        <v>36730</v>
      </c>
      <c r="F398" s="32">
        <v>76</v>
      </c>
      <c r="G398" s="39" t="s">
        <v>71</v>
      </c>
      <c r="H398" s="39"/>
      <c r="I398" s="12">
        <f t="shared" si="6"/>
        <v>10397</v>
      </c>
    </row>
    <row r="399" spans="1:9">
      <c r="A399" s="2">
        <v>210398</v>
      </c>
      <c r="B399" s="39" t="s">
        <v>1064</v>
      </c>
      <c r="C399" s="39" t="s">
        <v>752</v>
      </c>
      <c r="D399" s="65" t="s">
        <v>1065</v>
      </c>
      <c r="E399" s="66">
        <v>37899</v>
      </c>
      <c r="F399" s="32">
        <v>48</v>
      </c>
      <c r="G399" s="39" t="s">
        <v>71</v>
      </c>
      <c r="H399" s="39"/>
      <c r="I399" s="12">
        <f t="shared" si="6"/>
        <v>210398</v>
      </c>
    </row>
    <row r="400" spans="1:9">
      <c r="A400" s="2">
        <v>210399</v>
      </c>
      <c r="B400" s="39" t="s">
        <v>1066</v>
      </c>
      <c r="C400" s="39" t="s">
        <v>118</v>
      </c>
      <c r="D400" s="65" t="s">
        <v>1067</v>
      </c>
      <c r="E400" s="66">
        <v>33071</v>
      </c>
      <c r="F400" s="32">
        <v>48</v>
      </c>
      <c r="G400" s="39" t="s">
        <v>71</v>
      </c>
      <c r="H400" s="39"/>
      <c r="I400" s="12">
        <f t="shared" si="6"/>
        <v>210399</v>
      </c>
    </row>
    <row r="401" spans="1:9">
      <c r="A401" s="2">
        <v>10400</v>
      </c>
      <c r="B401" s="39" t="s">
        <v>171</v>
      </c>
      <c r="C401" s="39" t="s">
        <v>588</v>
      </c>
      <c r="D401" s="65" t="s">
        <v>1068</v>
      </c>
      <c r="E401" s="66">
        <v>37071</v>
      </c>
      <c r="F401" s="32">
        <v>48</v>
      </c>
      <c r="G401" s="39" t="s">
        <v>71</v>
      </c>
      <c r="H401" s="39"/>
      <c r="I401" s="12">
        <f t="shared" si="6"/>
        <v>10400</v>
      </c>
    </row>
    <row r="402" spans="1:9">
      <c r="A402" s="2">
        <v>10401</v>
      </c>
      <c r="B402" s="39" t="s">
        <v>1069</v>
      </c>
      <c r="C402" s="39" t="s">
        <v>1070</v>
      </c>
      <c r="D402" s="65" t="s">
        <v>1071</v>
      </c>
      <c r="E402" s="66">
        <v>37580</v>
      </c>
      <c r="F402" s="32">
        <v>48</v>
      </c>
      <c r="G402" s="39" t="s">
        <v>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1072</v>
      </c>
      <c r="C403" s="39" t="s">
        <v>440</v>
      </c>
      <c r="D403" s="65" t="s">
        <v>1073</v>
      </c>
      <c r="E403" s="66">
        <v>35942</v>
      </c>
      <c r="F403" s="32">
        <v>48</v>
      </c>
      <c r="G403" s="39" t="s">
        <v>71</v>
      </c>
      <c r="H403" s="39"/>
      <c r="I403" s="12">
        <f t="shared" si="7"/>
        <v>10402</v>
      </c>
    </row>
    <row r="404" spans="1:9">
      <c r="A404" s="2">
        <v>10403</v>
      </c>
      <c r="B404" s="39" t="s">
        <v>1074</v>
      </c>
      <c r="C404" s="39" t="s">
        <v>73</v>
      </c>
      <c r="D404" s="65" t="s">
        <v>1075</v>
      </c>
      <c r="E404" s="66">
        <v>37030</v>
      </c>
      <c r="F404" s="32">
        <v>48</v>
      </c>
      <c r="G404" s="39" t="s">
        <v>71</v>
      </c>
      <c r="H404" s="39"/>
      <c r="I404" s="12">
        <f t="shared" si="7"/>
        <v>10403</v>
      </c>
    </row>
    <row r="405" spans="1:9">
      <c r="A405" s="2">
        <v>10404</v>
      </c>
      <c r="B405" s="67" t="s">
        <v>1076</v>
      </c>
      <c r="C405" s="67" t="s">
        <v>679</v>
      </c>
      <c r="D405" s="67" t="s">
        <v>1077</v>
      </c>
      <c r="E405" s="66">
        <v>36774</v>
      </c>
      <c r="F405" s="32">
        <v>48</v>
      </c>
      <c r="G405" s="39" t="s">
        <v>71</v>
      </c>
      <c r="H405" s="39"/>
      <c r="I405" s="12">
        <f t="shared" si="7"/>
        <v>10404</v>
      </c>
    </row>
    <row r="406" spans="1:9">
      <c r="A406" s="2">
        <v>210405</v>
      </c>
      <c r="B406" s="67" t="s">
        <v>1078</v>
      </c>
      <c r="C406" s="67" t="s">
        <v>1079</v>
      </c>
      <c r="D406" s="67" t="s">
        <v>1080</v>
      </c>
      <c r="E406" s="66">
        <v>37008</v>
      </c>
      <c r="F406" s="32">
        <v>48</v>
      </c>
      <c r="G406" s="39" t="s">
        <v>71</v>
      </c>
      <c r="H406" s="39"/>
      <c r="I406" s="12">
        <f t="shared" si="7"/>
        <v>210405</v>
      </c>
    </row>
    <row r="407" spans="1:9">
      <c r="A407" s="2">
        <v>210406</v>
      </c>
      <c r="B407" s="67" t="s">
        <v>1081</v>
      </c>
      <c r="C407" s="67" t="s">
        <v>420</v>
      </c>
      <c r="D407" s="67" t="s">
        <v>1082</v>
      </c>
      <c r="E407" s="66">
        <v>36582</v>
      </c>
      <c r="F407" s="32">
        <v>48</v>
      </c>
      <c r="G407" s="39" t="s">
        <v>71</v>
      </c>
      <c r="H407" s="39"/>
      <c r="I407" s="12">
        <f t="shared" si="7"/>
        <v>210406</v>
      </c>
    </row>
    <row r="408" spans="1:9">
      <c r="A408" s="2">
        <v>10407</v>
      </c>
      <c r="B408" s="67" t="s">
        <v>1083</v>
      </c>
      <c r="C408" s="67" t="s">
        <v>311</v>
      </c>
      <c r="D408" s="67" t="s">
        <v>1084</v>
      </c>
      <c r="E408" s="66">
        <v>35325</v>
      </c>
      <c r="F408" s="32">
        <v>76</v>
      </c>
      <c r="G408" s="39" t="s">
        <v>71</v>
      </c>
      <c r="H408" s="39"/>
      <c r="I408" s="12">
        <f t="shared" si="7"/>
        <v>10407</v>
      </c>
    </row>
    <row r="409" spans="1:9">
      <c r="A409" s="2">
        <v>10408</v>
      </c>
      <c r="B409" s="67" t="s">
        <v>1085</v>
      </c>
      <c r="C409" s="67" t="s">
        <v>1086</v>
      </c>
      <c r="D409" s="67" t="s">
        <v>1087</v>
      </c>
      <c r="E409" s="66">
        <v>36448</v>
      </c>
      <c r="F409" s="32">
        <v>76</v>
      </c>
      <c r="G409" s="39" t="s">
        <v>71</v>
      </c>
      <c r="H409" s="39"/>
      <c r="I409" s="12">
        <f t="shared" si="7"/>
        <v>10408</v>
      </c>
    </row>
    <row r="410" spans="1:9">
      <c r="A410" s="2">
        <v>210409</v>
      </c>
      <c r="B410" s="67" t="s">
        <v>1088</v>
      </c>
      <c r="C410" s="67" t="s">
        <v>1089</v>
      </c>
      <c r="D410" s="67" t="s">
        <v>1090</v>
      </c>
      <c r="E410" s="66">
        <v>37076</v>
      </c>
      <c r="F410" s="32">
        <v>76</v>
      </c>
      <c r="G410" s="39" t="s">
        <v>71</v>
      </c>
      <c r="H410" s="39"/>
      <c r="I410" s="12">
        <f t="shared" si="7"/>
        <v>210409</v>
      </c>
    </row>
    <row r="411" spans="1:9">
      <c r="A411" s="2">
        <v>10410</v>
      </c>
      <c r="B411" s="67" t="s">
        <v>880</v>
      </c>
      <c r="C411" s="67" t="s">
        <v>1091</v>
      </c>
      <c r="D411" s="67" t="s">
        <v>1092</v>
      </c>
      <c r="E411" s="66">
        <v>37623</v>
      </c>
      <c r="F411" s="32">
        <v>76</v>
      </c>
      <c r="G411" s="39" t="s">
        <v>71</v>
      </c>
      <c r="H411" s="39"/>
      <c r="I411" s="12">
        <f t="shared" si="7"/>
        <v>10410</v>
      </c>
    </row>
    <row r="412" spans="1:9">
      <c r="A412" s="2">
        <v>210411</v>
      </c>
      <c r="B412" s="67" t="s">
        <v>1093</v>
      </c>
      <c r="C412" s="67" t="s">
        <v>1094</v>
      </c>
      <c r="D412" s="67" t="s">
        <v>1095</v>
      </c>
      <c r="E412" s="66">
        <v>34178</v>
      </c>
      <c r="F412" s="32">
        <v>76</v>
      </c>
      <c r="G412" s="39" t="s">
        <v>71</v>
      </c>
      <c r="H412" s="39"/>
      <c r="I412" s="12">
        <f t="shared" si="7"/>
        <v>210411</v>
      </c>
    </row>
    <row r="413" spans="1:9">
      <c r="A413" s="2">
        <v>10412</v>
      </c>
      <c r="B413" s="67" t="s">
        <v>1096</v>
      </c>
      <c r="C413" s="67" t="s">
        <v>1097</v>
      </c>
      <c r="D413" s="67" t="s">
        <v>1098</v>
      </c>
      <c r="E413" s="66">
        <v>37369</v>
      </c>
      <c r="F413" s="32">
        <v>76</v>
      </c>
      <c r="G413" s="39" t="s">
        <v>71</v>
      </c>
      <c r="H413" s="39"/>
      <c r="I413" s="12">
        <f t="shared" si="7"/>
        <v>10412</v>
      </c>
    </row>
    <row r="414" spans="1:9">
      <c r="A414" s="2">
        <v>210413</v>
      </c>
      <c r="B414" s="67" t="s">
        <v>1099</v>
      </c>
      <c r="C414" s="67" t="s">
        <v>1100</v>
      </c>
      <c r="D414" s="67" t="s">
        <v>1101</v>
      </c>
      <c r="E414" s="66">
        <v>38237</v>
      </c>
      <c r="F414" s="32">
        <v>48</v>
      </c>
      <c r="G414" s="39" t="s">
        <v>71</v>
      </c>
      <c r="H414" s="39"/>
      <c r="I414" s="12">
        <f t="shared" si="7"/>
        <v>210413</v>
      </c>
    </row>
    <row r="415" spans="1:9">
      <c r="A415" s="2">
        <v>210414</v>
      </c>
      <c r="B415" s="67" t="s">
        <v>1102</v>
      </c>
      <c r="C415" s="67" t="s">
        <v>690</v>
      </c>
      <c r="D415" s="67" t="s">
        <v>1103</v>
      </c>
      <c r="E415" s="66">
        <v>37554</v>
      </c>
      <c r="F415" s="32">
        <v>48</v>
      </c>
      <c r="G415" s="39" t="s">
        <v>71</v>
      </c>
      <c r="H415" s="39"/>
      <c r="I415" s="12">
        <f t="shared" si="7"/>
        <v>210414</v>
      </c>
    </row>
    <row r="416" spans="1:9">
      <c r="A416" s="2">
        <v>210415</v>
      </c>
      <c r="B416" s="67" t="s">
        <v>1104</v>
      </c>
      <c r="C416" s="67" t="s">
        <v>1105</v>
      </c>
      <c r="D416" s="67" t="s">
        <v>1106</v>
      </c>
      <c r="E416" s="66">
        <v>38598</v>
      </c>
      <c r="F416" s="32">
        <v>48</v>
      </c>
      <c r="G416" s="39" t="s">
        <v>71</v>
      </c>
      <c r="H416" s="39"/>
      <c r="I416" s="12">
        <f t="shared" si="7"/>
        <v>210415</v>
      </c>
    </row>
    <row r="417" spans="1:9">
      <c r="A417" s="2">
        <v>210416</v>
      </c>
      <c r="B417" s="67" t="s">
        <v>1107</v>
      </c>
      <c r="C417" s="67" t="s">
        <v>690</v>
      </c>
      <c r="D417" s="67" t="s">
        <v>1108</v>
      </c>
      <c r="E417" s="66">
        <v>38324</v>
      </c>
      <c r="F417" s="32">
        <v>48</v>
      </c>
      <c r="G417" s="39" t="s">
        <v>71</v>
      </c>
      <c r="H417" s="39"/>
      <c r="I417" s="12">
        <f t="shared" si="7"/>
        <v>210416</v>
      </c>
    </row>
    <row r="418" spans="1:9">
      <c r="A418" s="2">
        <v>10417</v>
      </c>
      <c r="B418" s="67" t="s">
        <v>1109</v>
      </c>
      <c r="C418" s="67" t="s">
        <v>88</v>
      </c>
      <c r="D418" s="67" t="s">
        <v>1110</v>
      </c>
      <c r="E418" s="66">
        <v>37880</v>
      </c>
      <c r="F418" s="32">
        <v>48</v>
      </c>
      <c r="G418" s="39" t="s">
        <v>71</v>
      </c>
      <c r="H418" s="39"/>
      <c r="I418" s="12">
        <f t="shared" si="7"/>
        <v>10417</v>
      </c>
    </row>
    <row r="419" spans="1:9">
      <c r="A419" s="2">
        <v>10418</v>
      </c>
      <c r="B419" s="67" t="s">
        <v>1111</v>
      </c>
      <c r="C419" s="67" t="s">
        <v>118</v>
      </c>
      <c r="D419" s="67" t="s">
        <v>1112</v>
      </c>
      <c r="E419" s="66">
        <v>34861</v>
      </c>
      <c r="F419" s="32">
        <v>76</v>
      </c>
      <c r="G419" s="39" t="s">
        <v>71</v>
      </c>
      <c r="H419" s="39"/>
      <c r="I419" s="12">
        <f t="shared" si="7"/>
        <v>10418</v>
      </c>
    </row>
    <row r="420" spans="1:9">
      <c r="A420" s="2">
        <v>210419</v>
      </c>
      <c r="B420" s="67" t="s">
        <v>1113</v>
      </c>
      <c r="C420" s="67" t="s">
        <v>522</v>
      </c>
      <c r="D420" s="67" t="s">
        <v>1114</v>
      </c>
      <c r="E420" s="66">
        <v>38538</v>
      </c>
      <c r="F420" s="32">
        <v>76</v>
      </c>
      <c r="G420" s="39" t="s">
        <v>71</v>
      </c>
      <c r="H420" s="39"/>
      <c r="I420" s="12">
        <f t="shared" si="7"/>
        <v>210419</v>
      </c>
    </row>
    <row r="421" spans="1:9">
      <c r="A421" s="2">
        <v>210420</v>
      </c>
      <c r="B421" s="67" t="s">
        <v>1115</v>
      </c>
      <c r="C421" s="67" t="s">
        <v>69</v>
      </c>
      <c r="D421" s="67" t="s">
        <v>1116</v>
      </c>
      <c r="E421" s="66">
        <v>37909</v>
      </c>
      <c r="F421" s="32">
        <v>48</v>
      </c>
      <c r="G421" s="39" t="s">
        <v>71</v>
      </c>
      <c r="H421" s="39"/>
      <c r="I421" s="12">
        <f t="shared" si="7"/>
        <v>210420</v>
      </c>
    </row>
    <row r="422" spans="1:9">
      <c r="A422" s="2">
        <v>210421</v>
      </c>
      <c r="B422" s="67" t="s">
        <v>1117</v>
      </c>
      <c r="C422" s="67" t="s">
        <v>171</v>
      </c>
      <c r="D422" s="67" t="s">
        <v>1118</v>
      </c>
      <c r="E422" s="66">
        <v>36709</v>
      </c>
      <c r="F422" s="32">
        <v>48</v>
      </c>
      <c r="G422" s="39" t="s">
        <v>71</v>
      </c>
      <c r="H422" s="39"/>
      <c r="I422" s="12">
        <f t="shared" si="7"/>
        <v>210421</v>
      </c>
    </row>
    <row r="423" spans="1:9">
      <c r="A423" s="2">
        <v>10422</v>
      </c>
      <c r="B423" s="67" t="s">
        <v>201</v>
      </c>
      <c r="C423" s="67" t="s">
        <v>107</v>
      </c>
      <c r="D423" s="67" t="s">
        <v>1119</v>
      </c>
      <c r="E423" s="66">
        <v>36335</v>
      </c>
      <c r="F423" s="32">
        <v>76</v>
      </c>
      <c r="G423" s="39" t="s">
        <v>71</v>
      </c>
      <c r="H423" s="39"/>
      <c r="I423" s="12">
        <f t="shared" si="7"/>
        <v>10422</v>
      </c>
    </row>
    <row r="424" spans="1:9">
      <c r="A424" s="2">
        <v>210423</v>
      </c>
      <c r="B424" s="67" t="s">
        <v>1120</v>
      </c>
      <c r="C424" s="67" t="s">
        <v>1121</v>
      </c>
      <c r="D424" s="67" t="s">
        <v>1122</v>
      </c>
      <c r="E424" s="66">
        <v>36905</v>
      </c>
      <c r="F424" s="32">
        <v>48</v>
      </c>
      <c r="G424" s="39" t="s">
        <v>71</v>
      </c>
      <c r="H424" s="39"/>
      <c r="I424" s="12">
        <f t="shared" si="7"/>
        <v>210423</v>
      </c>
    </row>
    <row r="425" spans="1:9">
      <c r="A425" s="2">
        <v>210424</v>
      </c>
      <c r="B425" s="67" t="s">
        <v>1123</v>
      </c>
      <c r="C425" s="67" t="s">
        <v>1124</v>
      </c>
      <c r="D425" s="67" t="s">
        <v>1125</v>
      </c>
      <c r="E425" s="66">
        <v>35958</v>
      </c>
      <c r="F425" s="32">
        <v>76</v>
      </c>
      <c r="G425" s="39" t="s">
        <v>71</v>
      </c>
      <c r="H425" s="39"/>
      <c r="I425" s="12">
        <f t="shared" si="7"/>
        <v>210424</v>
      </c>
    </row>
    <row r="426" spans="1:9">
      <c r="A426" s="2">
        <v>210425</v>
      </c>
      <c r="B426" s="67" t="s">
        <v>1126</v>
      </c>
      <c r="C426" s="67" t="s">
        <v>1127</v>
      </c>
      <c r="D426" s="67" t="s">
        <v>1128</v>
      </c>
      <c r="E426" s="66">
        <v>40080</v>
      </c>
      <c r="F426" s="32">
        <v>48</v>
      </c>
      <c r="G426" s="39" t="s">
        <v>71</v>
      </c>
      <c r="H426" s="39"/>
      <c r="I426" s="12">
        <f t="shared" si="7"/>
        <v>210425</v>
      </c>
    </row>
    <row r="427" spans="1:9">
      <c r="A427" s="2">
        <v>10426</v>
      </c>
      <c r="B427" s="67" t="s">
        <v>1129</v>
      </c>
      <c r="C427" s="67" t="s">
        <v>115</v>
      </c>
      <c r="D427" s="67" t="s">
        <v>1130</v>
      </c>
      <c r="E427" s="66">
        <v>36069</v>
      </c>
      <c r="F427" s="32">
        <v>48</v>
      </c>
      <c r="G427" s="39" t="s">
        <v>71</v>
      </c>
      <c r="H427" s="39"/>
      <c r="I427" s="12">
        <f t="shared" si="7"/>
        <v>10426</v>
      </c>
    </row>
    <row r="428" spans="1:9">
      <c r="A428" s="2">
        <v>210427</v>
      </c>
      <c r="B428" s="67" t="s">
        <v>1131</v>
      </c>
      <c r="C428" s="67" t="s">
        <v>126</v>
      </c>
      <c r="D428" s="67" t="s">
        <v>1132</v>
      </c>
      <c r="E428" s="66">
        <v>38420</v>
      </c>
      <c r="F428" s="32">
        <v>76</v>
      </c>
      <c r="G428" s="39" t="s">
        <v>71</v>
      </c>
      <c r="H428" s="39"/>
      <c r="I428" s="12">
        <f t="shared" si="7"/>
        <v>210427</v>
      </c>
    </row>
    <row r="429" spans="1:9">
      <c r="A429" s="2">
        <v>210428</v>
      </c>
      <c r="B429" s="67" t="s">
        <v>1133</v>
      </c>
      <c r="C429" s="67" t="s">
        <v>1134</v>
      </c>
      <c r="D429" s="67" t="s">
        <v>1135</v>
      </c>
      <c r="E429" s="66">
        <v>35913</v>
      </c>
      <c r="F429" s="32">
        <v>76</v>
      </c>
      <c r="G429" s="39" t="s">
        <v>71</v>
      </c>
      <c r="H429" s="39"/>
      <c r="I429" s="12">
        <f t="shared" si="7"/>
        <v>210428</v>
      </c>
    </row>
    <row r="430" spans="1:9">
      <c r="A430" s="2">
        <v>210429</v>
      </c>
      <c r="B430" s="67" t="s">
        <v>704</v>
      </c>
      <c r="C430" s="67" t="s">
        <v>1136</v>
      </c>
      <c r="D430" s="67" t="s">
        <v>1137</v>
      </c>
      <c r="E430" s="66">
        <v>37158</v>
      </c>
      <c r="F430" s="32">
        <v>76</v>
      </c>
      <c r="G430" s="39" t="s">
        <v>71</v>
      </c>
      <c r="H430" s="39"/>
      <c r="I430" s="12">
        <f t="shared" si="7"/>
        <v>210429</v>
      </c>
    </row>
    <row r="431" spans="1:9">
      <c r="A431" s="2">
        <v>210430</v>
      </c>
      <c r="B431" s="67" t="s">
        <v>1138</v>
      </c>
      <c r="C431" s="67" t="s">
        <v>1139</v>
      </c>
      <c r="D431" s="67" t="s">
        <v>1140</v>
      </c>
      <c r="E431" s="66">
        <v>38688</v>
      </c>
      <c r="F431" s="32">
        <v>48</v>
      </c>
      <c r="G431" s="39" t="s">
        <v>71</v>
      </c>
      <c r="H431" s="39"/>
      <c r="I431" s="12">
        <f t="shared" si="7"/>
        <v>210430</v>
      </c>
    </row>
    <row r="432" spans="1:9">
      <c r="A432" s="2">
        <v>210431</v>
      </c>
      <c r="B432" s="67" t="s">
        <v>1141</v>
      </c>
      <c r="C432" s="67" t="s">
        <v>1040</v>
      </c>
      <c r="D432" s="67" t="s">
        <v>1142</v>
      </c>
      <c r="E432" s="66">
        <v>36829</v>
      </c>
      <c r="F432" s="32">
        <v>48</v>
      </c>
      <c r="G432" s="39" t="s">
        <v>71</v>
      </c>
      <c r="H432" s="39"/>
      <c r="I432" s="12">
        <f t="shared" si="7"/>
        <v>210431</v>
      </c>
    </row>
    <row r="433" spans="1:9">
      <c r="A433" s="2">
        <v>210432</v>
      </c>
      <c r="B433" s="67" t="s">
        <v>1143</v>
      </c>
      <c r="C433" s="67" t="s">
        <v>1144</v>
      </c>
      <c r="D433" s="67" t="s">
        <v>1145</v>
      </c>
      <c r="E433" s="66">
        <v>38106</v>
      </c>
      <c r="F433" s="32">
        <v>48</v>
      </c>
      <c r="G433" s="39" t="s">
        <v>71</v>
      </c>
      <c r="H433" s="39"/>
      <c r="I433" s="12">
        <f t="shared" si="7"/>
        <v>210432</v>
      </c>
    </row>
    <row r="434" spans="1:9">
      <c r="A434" s="2">
        <v>210433</v>
      </c>
      <c r="B434" s="67" t="s">
        <v>114</v>
      </c>
      <c r="C434" s="67" t="s">
        <v>682</v>
      </c>
      <c r="D434" s="67" t="s">
        <v>1146</v>
      </c>
      <c r="E434" s="66">
        <v>37111</v>
      </c>
      <c r="F434" s="32">
        <v>48</v>
      </c>
      <c r="G434" s="39" t="s">
        <v>71</v>
      </c>
      <c r="H434" s="39"/>
      <c r="I434" s="12">
        <f t="shared" si="7"/>
        <v>210433</v>
      </c>
    </row>
    <row r="435" spans="1:9">
      <c r="A435" s="2">
        <v>210434</v>
      </c>
      <c r="B435" s="67" t="s">
        <v>199</v>
      </c>
      <c r="C435" s="67" t="s">
        <v>1147</v>
      </c>
      <c r="D435" s="67" t="s">
        <v>1148</v>
      </c>
      <c r="E435" s="66">
        <v>36562</v>
      </c>
      <c r="F435" s="32">
        <v>48</v>
      </c>
      <c r="G435" s="39" t="s">
        <v>71</v>
      </c>
      <c r="H435" s="39"/>
      <c r="I435" s="12">
        <f t="shared" si="7"/>
        <v>210434</v>
      </c>
    </row>
    <row r="436" spans="1:9">
      <c r="A436" s="2">
        <v>210435</v>
      </c>
      <c r="B436" s="67" t="s">
        <v>1149</v>
      </c>
      <c r="C436" s="67" t="s">
        <v>549</v>
      </c>
      <c r="D436" s="67" t="s">
        <v>1150</v>
      </c>
      <c r="E436" s="66">
        <v>39034</v>
      </c>
      <c r="F436" s="32">
        <v>48</v>
      </c>
      <c r="G436" s="39" t="s">
        <v>71</v>
      </c>
      <c r="H436" s="39"/>
      <c r="I436" s="12">
        <f t="shared" si="7"/>
        <v>210435</v>
      </c>
    </row>
    <row r="437" spans="1:9">
      <c r="A437" s="2">
        <v>210436</v>
      </c>
      <c r="B437" s="67" t="s">
        <v>539</v>
      </c>
      <c r="C437" s="67" t="s">
        <v>1151</v>
      </c>
      <c r="D437" s="67" t="s">
        <v>1152</v>
      </c>
      <c r="E437" s="66">
        <v>37872</v>
      </c>
      <c r="F437" s="32">
        <v>76</v>
      </c>
      <c r="G437" s="39" t="s">
        <v>71</v>
      </c>
      <c r="H437" s="39"/>
      <c r="I437" s="12">
        <f t="shared" si="7"/>
        <v>210436</v>
      </c>
    </row>
    <row r="438" spans="1:9">
      <c r="A438" s="2">
        <v>210437</v>
      </c>
      <c r="B438" s="67" t="s">
        <v>1153</v>
      </c>
      <c r="C438" s="67" t="s">
        <v>408</v>
      </c>
      <c r="D438" s="67" t="s">
        <v>1154</v>
      </c>
      <c r="E438" s="66">
        <v>39304</v>
      </c>
      <c r="F438" s="32">
        <v>76</v>
      </c>
      <c r="G438" s="39" t="s">
        <v>71</v>
      </c>
      <c r="H438" s="39"/>
      <c r="I438" s="12">
        <f t="shared" si="7"/>
        <v>210437</v>
      </c>
    </row>
    <row r="439" spans="1:9">
      <c r="A439" s="2">
        <v>210438</v>
      </c>
      <c r="B439" s="67" t="s">
        <v>1155</v>
      </c>
      <c r="C439" s="67" t="s">
        <v>1156</v>
      </c>
      <c r="D439" s="67" t="s">
        <v>1157</v>
      </c>
      <c r="E439" s="66">
        <v>37051</v>
      </c>
      <c r="F439" s="32">
        <v>76</v>
      </c>
      <c r="G439" s="39" t="s">
        <v>71</v>
      </c>
      <c r="H439" s="39"/>
      <c r="I439" s="12">
        <f t="shared" si="7"/>
        <v>210438</v>
      </c>
    </row>
    <row r="440" spans="1:9">
      <c r="A440" s="2">
        <v>210439</v>
      </c>
      <c r="B440" s="67" t="s">
        <v>1158</v>
      </c>
      <c r="C440" s="67" t="s">
        <v>1159</v>
      </c>
      <c r="D440" s="67" t="s">
        <v>1160</v>
      </c>
      <c r="E440" s="66">
        <v>36728</v>
      </c>
      <c r="F440" s="32">
        <v>76</v>
      </c>
      <c r="G440" s="39" t="s">
        <v>71</v>
      </c>
      <c r="H440" s="39"/>
      <c r="I440" s="12">
        <f t="shared" si="7"/>
        <v>210439</v>
      </c>
    </row>
    <row r="441" spans="1:9">
      <c r="A441" s="2">
        <v>210440</v>
      </c>
      <c r="B441" s="67" t="s">
        <v>1161</v>
      </c>
      <c r="C441" s="67" t="s">
        <v>1162</v>
      </c>
      <c r="D441" s="67" t="s">
        <v>1163</v>
      </c>
      <c r="E441" s="66">
        <v>38166</v>
      </c>
      <c r="F441" s="32">
        <v>48</v>
      </c>
      <c r="G441" s="39" t="s">
        <v>71</v>
      </c>
      <c r="H441" s="39"/>
      <c r="I441" s="12">
        <f t="shared" si="7"/>
        <v>210440</v>
      </c>
    </row>
    <row r="442" spans="1:9">
      <c r="A442" s="2">
        <v>210441</v>
      </c>
      <c r="B442" s="67" t="s">
        <v>1164</v>
      </c>
      <c r="C442" s="67" t="s">
        <v>1165</v>
      </c>
      <c r="D442" s="67" t="s">
        <v>1166</v>
      </c>
      <c r="E442" s="66">
        <v>38219</v>
      </c>
      <c r="F442" s="32">
        <v>48</v>
      </c>
      <c r="G442" s="39" t="s">
        <v>71</v>
      </c>
      <c r="H442" s="39"/>
      <c r="I442" s="12">
        <f t="shared" si="7"/>
        <v>210441</v>
      </c>
    </row>
    <row r="443" spans="1:9">
      <c r="A443" s="2">
        <v>10442</v>
      </c>
      <c r="B443" s="67" t="s">
        <v>1167</v>
      </c>
      <c r="C443" s="67" t="s">
        <v>1168</v>
      </c>
      <c r="D443" s="67" t="s">
        <v>1169</v>
      </c>
      <c r="E443" s="66">
        <v>36842</v>
      </c>
      <c r="F443" s="32">
        <v>48</v>
      </c>
      <c r="G443" s="39" t="s">
        <v>71</v>
      </c>
      <c r="H443" s="39"/>
      <c r="I443" s="12">
        <f t="shared" si="7"/>
        <v>10442</v>
      </c>
    </row>
    <row r="444" spans="1:9">
      <c r="A444" s="2">
        <v>210443</v>
      </c>
      <c r="B444" s="67" t="s">
        <v>1170</v>
      </c>
      <c r="C444" s="67" t="s">
        <v>1171</v>
      </c>
      <c r="D444" s="67" t="s">
        <v>1172</v>
      </c>
      <c r="E444" s="66">
        <v>38327</v>
      </c>
      <c r="F444" s="32">
        <v>48</v>
      </c>
      <c r="G444" s="39" t="s">
        <v>71</v>
      </c>
      <c r="H444" s="39"/>
      <c r="I444" s="12">
        <f t="shared" si="7"/>
        <v>210443</v>
      </c>
    </row>
    <row r="445" spans="1:9">
      <c r="A445" s="2">
        <v>210444</v>
      </c>
      <c r="B445" s="67" t="s">
        <v>1173</v>
      </c>
      <c r="C445" s="67" t="s">
        <v>443</v>
      </c>
      <c r="D445" s="67" t="s">
        <v>1174</v>
      </c>
      <c r="E445" s="66">
        <v>36614</v>
      </c>
      <c r="F445" s="32">
        <v>76</v>
      </c>
      <c r="G445" s="39" t="s">
        <v>71</v>
      </c>
      <c r="H445" s="39"/>
      <c r="I445" s="12">
        <f t="shared" si="7"/>
        <v>210444</v>
      </c>
    </row>
    <row r="446" spans="1:9">
      <c r="A446" s="2">
        <v>210445</v>
      </c>
      <c r="B446" s="67" t="s">
        <v>1175</v>
      </c>
      <c r="C446" s="67" t="s">
        <v>138</v>
      </c>
      <c r="D446" s="67" t="s">
        <v>1176</v>
      </c>
      <c r="E446" s="66">
        <v>36717</v>
      </c>
      <c r="F446" s="32">
        <v>76</v>
      </c>
      <c r="G446" s="39" t="s">
        <v>71</v>
      </c>
      <c r="H446" s="39"/>
      <c r="I446" s="12">
        <f t="shared" si="7"/>
        <v>210445</v>
      </c>
    </row>
    <row r="447" spans="1:9">
      <c r="A447" s="2">
        <v>210446</v>
      </c>
      <c r="B447" s="67" t="s">
        <v>890</v>
      </c>
      <c r="C447" s="67" t="s">
        <v>1177</v>
      </c>
      <c r="D447" s="67" t="s">
        <v>1178</v>
      </c>
      <c r="E447" s="66">
        <v>40016</v>
      </c>
      <c r="F447" s="32">
        <v>76</v>
      </c>
      <c r="G447" s="39" t="s">
        <v>71</v>
      </c>
      <c r="H447" s="39"/>
      <c r="I447" s="12">
        <f t="shared" si="7"/>
        <v>210446</v>
      </c>
    </row>
    <row r="448" spans="1:9">
      <c r="A448" s="2">
        <v>210447</v>
      </c>
      <c r="B448" s="67" t="s">
        <v>1179</v>
      </c>
      <c r="C448" s="67" t="s">
        <v>1180</v>
      </c>
      <c r="D448" s="67" t="s">
        <v>1181</v>
      </c>
      <c r="E448" s="66">
        <v>33155</v>
      </c>
      <c r="F448" s="32">
        <v>48</v>
      </c>
      <c r="G448" s="39" t="s">
        <v>71</v>
      </c>
      <c r="H448" s="39"/>
      <c r="I448" s="12">
        <f t="shared" si="7"/>
        <v>210447</v>
      </c>
    </row>
    <row r="449" spans="1:9">
      <c r="A449" s="2">
        <v>10448</v>
      </c>
      <c r="B449" s="67" t="s">
        <v>1182</v>
      </c>
      <c r="C449" s="67" t="s">
        <v>1183</v>
      </c>
      <c r="D449" s="67" t="s">
        <v>1184</v>
      </c>
      <c r="E449" s="66">
        <v>36710</v>
      </c>
      <c r="F449" s="32">
        <v>48</v>
      </c>
      <c r="G449" s="39" t="s">
        <v>71</v>
      </c>
      <c r="H449" s="39"/>
      <c r="I449" s="12">
        <f t="shared" si="7"/>
        <v>10448</v>
      </c>
    </row>
    <row r="450" spans="1:9">
      <c r="A450" s="2">
        <v>210449</v>
      </c>
      <c r="B450" s="67" t="s">
        <v>1141</v>
      </c>
      <c r="C450" s="67" t="s">
        <v>126</v>
      </c>
      <c r="D450" s="67" t="s">
        <v>1185</v>
      </c>
      <c r="E450" s="66">
        <v>39218</v>
      </c>
      <c r="F450" s="32">
        <v>76</v>
      </c>
      <c r="G450" s="39" t="s">
        <v>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1186</v>
      </c>
      <c r="C451" s="67" t="s">
        <v>1094</v>
      </c>
      <c r="D451" s="67" t="s">
        <v>1187</v>
      </c>
      <c r="E451" s="66">
        <v>32436</v>
      </c>
      <c r="F451" s="32">
        <v>76</v>
      </c>
      <c r="G451" s="39" t="s">
        <v>71</v>
      </c>
      <c r="H451" s="39" t="s">
        <v>55</v>
      </c>
      <c r="I451" s="12">
        <f t="shared" si="8"/>
        <v>10450</v>
      </c>
    </row>
    <row r="452" spans="1:9">
      <c r="A452" s="2">
        <v>10451</v>
      </c>
      <c r="B452" s="67" t="s">
        <v>1188</v>
      </c>
      <c r="C452" s="67" t="s">
        <v>1189</v>
      </c>
      <c r="D452" s="67" t="s">
        <v>1190</v>
      </c>
      <c r="E452" s="66">
        <v>37724</v>
      </c>
      <c r="F452" s="32">
        <v>48</v>
      </c>
      <c r="G452" s="39" t="s">
        <v>71</v>
      </c>
      <c r="H452" s="39"/>
      <c r="I452" s="12">
        <f t="shared" si="8"/>
        <v>10451</v>
      </c>
    </row>
    <row r="453" spans="1:9">
      <c r="A453" s="2">
        <v>210452</v>
      </c>
      <c r="B453" s="67" t="s">
        <v>1191</v>
      </c>
      <c r="C453" s="67" t="s">
        <v>1192</v>
      </c>
      <c r="D453" s="67" t="s">
        <v>1193</v>
      </c>
      <c r="E453" s="66">
        <v>37900</v>
      </c>
      <c r="F453" s="32">
        <v>48</v>
      </c>
      <c r="G453" s="39" t="s">
        <v>71</v>
      </c>
      <c r="H453" s="39"/>
      <c r="I453" s="12">
        <f t="shared" si="8"/>
        <v>210452</v>
      </c>
    </row>
    <row r="454" spans="1:9">
      <c r="A454" s="2">
        <v>210453</v>
      </c>
      <c r="B454" s="67" t="s">
        <v>1194</v>
      </c>
      <c r="C454" s="67" t="s">
        <v>171</v>
      </c>
      <c r="D454" s="67" t="s">
        <v>1195</v>
      </c>
      <c r="E454" s="66">
        <v>37321</v>
      </c>
      <c r="F454" s="32">
        <v>48</v>
      </c>
      <c r="G454" s="39" t="s">
        <v>71</v>
      </c>
      <c r="H454" s="39"/>
      <c r="I454" s="12">
        <f t="shared" si="8"/>
        <v>210453</v>
      </c>
    </row>
    <row r="455" spans="1:9">
      <c r="A455" s="2">
        <v>210454</v>
      </c>
      <c r="B455" s="67" t="s">
        <v>1196</v>
      </c>
      <c r="C455" s="67" t="s">
        <v>1197</v>
      </c>
      <c r="D455" s="67" t="s">
        <v>1198</v>
      </c>
      <c r="E455" s="66">
        <v>39141</v>
      </c>
      <c r="F455" s="32">
        <v>76</v>
      </c>
      <c r="G455" s="39" t="s">
        <v>71</v>
      </c>
      <c r="H455" s="39"/>
      <c r="I455" s="12">
        <f t="shared" si="8"/>
        <v>210454</v>
      </c>
    </row>
    <row r="456" spans="1:9">
      <c r="A456" s="2">
        <v>210455</v>
      </c>
      <c r="B456" s="67" t="s">
        <v>1199</v>
      </c>
      <c r="C456" s="67" t="s">
        <v>1097</v>
      </c>
      <c r="D456" s="67" t="s">
        <v>1200</v>
      </c>
      <c r="E456" s="66">
        <v>37551</v>
      </c>
      <c r="F456" s="32">
        <v>48</v>
      </c>
      <c r="G456" s="39" t="s">
        <v>71</v>
      </c>
      <c r="H456" s="39"/>
      <c r="I456" s="12">
        <f t="shared" si="8"/>
        <v>210455</v>
      </c>
    </row>
    <row r="457" spans="1:9">
      <c r="A457" s="2">
        <v>210456</v>
      </c>
      <c r="B457" s="67" t="s">
        <v>1201</v>
      </c>
      <c r="C457" s="67" t="s">
        <v>1202</v>
      </c>
      <c r="D457" s="67" t="s">
        <v>1203</v>
      </c>
      <c r="E457" s="66">
        <v>35089</v>
      </c>
      <c r="F457" s="32">
        <v>48</v>
      </c>
      <c r="G457" s="39" t="s">
        <v>71</v>
      </c>
      <c r="H457" s="39"/>
      <c r="I457" s="12">
        <f t="shared" si="8"/>
        <v>210456</v>
      </c>
    </row>
    <row r="458" spans="1:9">
      <c r="A458" s="2">
        <v>210457</v>
      </c>
      <c r="B458" s="67" t="s">
        <v>1204</v>
      </c>
      <c r="C458" s="67" t="s">
        <v>1205</v>
      </c>
      <c r="D458" s="67" t="s">
        <v>1206</v>
      </c>
      <c r="E458" s="66">
        <v>37584</v>
      </c>
      <c r="F458" s="32">
        <v>48</v>
      </c>
      <c r="G458" s="39" t="s">
        <v>71</v>
      </c>
      <c r="H458" s="39"/>
      <c r="I458" s="12">
        <f t="shared" si="8"/>
        <v>210457</v>
      </c>
    </row>
    <row r="459" spans="1:9">
      <c r="A459" s="2">
        <v>210458</v>
      </c>
      <c r="B459" s="67" t="s">
        <v>1207</v>
      </c>
      <c r="C459" s="67" t="s">
        <v>1208</v>
      </c>
      <c r="D459" s="67" t="s">
        <v>1209</v>
      </c>
      <c r="E459" s="66">
        <v>38493</v>
      </c>
      <c r="F459" s="32">
        <v>76</v>
      </c>
      <c r="G459" s="39" t="s">
        <v>71</v>
      </c>
      <c r="H459" s="39"/>
      <c r="I459" s="12">
        <f t="shared" si="8"/>
        <v>210458</v>
      </c>
    </row>
    <row r="460" spans="1:9">
      <c r="A460" s="2">
        <v>10459</v>
      </c>
      <c r="B460" s="67" t="s">
        <v>1210</v>
      </c>
      <c r="C460" s="67" t="s">
        <v>408</v>
      </c>
      <c r="D460" s="67" t="s">
        <v>1211</v>
      </c>
      <c r="E460" s="79">
        <v>37988</v>
      </c>
      <c r="F460" s="32">
        <v>48</v>
      </c>
      <c r="G460" s="39" t="s">
        <v>71</v>
      </c>
      <c r="H460" s="39"/>
      <c r="I460" s="12">
        <f t="shared" si="8"/>
        <v>10459</v>
      </c>
    </row>
    <row r="461" spans="1:9">
      <c r="A461" s="2">
        <v>10460</v>
      </c>
      <c r="B461" s="67" t="s">
        <v>1212</v>
      </c>
      <c r="C461" s="67" t="s">
        <v>1213</v>
      </c>
      <c r="D461" s="67" t="s">
        <v>1214</v>
      </c>
      <c r="E461" s="79">
        <v>38468</v>
      </c>
      <c r="F461" s="32">
        <v>48</v>
      </c>
      <c r="G461" s="39" t="s">
        <v>71</v>
      </c>
      <c r="H461" s="39"/>
      <c r="I461" s="12">
        <f t="shared" si="8"/>
        <v>10460</v>
      </c>
    </row>
    <row r="462" spans="1:9">
      <c r="A462" s="2">
        <v>10461</v>
      </c>
      <c r="B462" s="67" t="s">
        <v>1215</v>
      </c>
      <c r="C462" s="67" t="s">
        <v>177</v>
      </c>
      <c r="D462" s="67" t="s">
        <v>1216</v>
      </c>
      <c r="E462" s="79">
        <v>35698</v>
      </c>
      <c r="F462" s="32">
        <v>76</v>
      </c>
      <c r="G462" s="39" t="s">
        <v>133</v>
      </c>
      <c r="H462" s="39"/>
      <c r="I462" s="12">
        <f t="shared" si="8"/>
        <v>10461</v>
      </c>
    </row>
    <row r="463" spans="1:9">
      <c r="A463" s="2">
        <v>210462</v>
      </c>
      <c r="B463" s="67" t="s">
        <v>1217</v>
      </c>
      <c r="C463" s="67" t="s">
        <v>1218</v>
      </c>
      <c r="D463" s="67" t="s">
        <v>1219</v>
      </c>
      <c r="E463" s="79">
        <v>38898</v>
      </c>
      <c r="F463" s="32">
        <v>76</v>
      </c>
      <c r="G463" s="39" t="s">
        <v>133</v>
      </c>
      <c r="H463" s="39"/>
      <c r="I463" s="12">
        <f t="shared" si="8"/>
        <v>210462</v>
      </c>
    </row>
    <row r="464" spans="1:9">
      <c r="A464" s="2">
        <v>10463</v>
      </c>
      <c r="B464" s="67" t="s">
        <v>1220</v>
      </c>
      <c r="C464" s="67" t="s">
        <v>306</v>
      </c>
      <c r="D464" s="67" t="s">
        <v>1221</v>
      </c>
      <c r="E464" s="79">
        <v>35883</v>
      </c>
      <c r="F464" s="32">
        <v>76</v>
      </c>
      <c r="G464" s="39" t="s">
        <v>133</v>
      </c>
      <c r="H464" s="39"/>
      <c r="I464" s="12">
        <f t="shared" si="8"/>
        <v>10463</v>
      </c>
    </row>
    <row r="465" spans="1:9">
      <c r="A465" s="2">
        <v>10464</v>
      </c>
      <c r="B465" s="67" t="s">
        <v>1222</v>
      </c>
      <c r="C465" s="67" t="s">
        <v>1223</v>
      </c>
      <c r="D465" s="67" t="s">
        <v>1224</v>
      </c>
      <c r="E465" s="79">
        <v>38060</v>
      </c>
      <c r="F465" s="32">
        <v>76</v>
      </c>
      <c r="G465" s="39" t="s">
        <v>133</v>
      </c>
      <c r="H465" s="39"/>
      <c r="I465" s="12">
        <f t="shared" si="8"/>
        <v>10464</v>
      </c>
    </row>
    <row r="466" spans="1:9">
      <c r="A466" s="2">
        <v>210465</v>
      </c>
      <c r="B466" s="67" t="s">
        <v>1225</v>
      </c>
      <c r="C466" s="67" t="s">
        <v>1226</v>
      </c>
      <c r="D466" s="67" t="s">
        <v>1227</v>
      </c>
      <c r="E466" s="79">
        <v>36817</v>
      </c>
      <c r="F466" s="32">
        <v>76</v>
      </c>
      <c r="G466" s="39" t="s">
        <v>133</v>
      </c>
      <c r="H466" s="39"/>
      <c r="I466" s="12">
        <f t="shared" si="8"/>
        <v>210465</v>
      </c>
    </row>
    <row r="467" spans="1:9">
      <c r="A467" s="2">
        <v>210466</v>
      </c>
      <c r="B467" s="67" t="s">
        <v>1228</v>
      </c>
      <c r="C467" s="67" t="s">
        <v>1229</v>
      </c>
      <c r="D467" s="67" t="s">
        <v>1230</v>
      </c>
      <c r="E467" s="79">
        <v>40098</v>
      </c>
      <c r="F467" s="32">
        <v>76</v>
      </c>
      <c r="G467" s="39" t="s">
        <v>133</v>
      </c>
      <c r="H467" s="39"/>
      <c r="I467" s="12">
        <f t="shared" si="8"/>
        <v>210466</v>
      </c>
    </row>
    <row r="468" spans="1:9">
      <c r="A468" s="2">
        <v>210467</v>
      </c>
      <c r="B468" s="67" t="s">
        <v>1231</v>
      </c>
      <c r="C468" s="67" t="s">
        <v>1232</v>
      </c>
      <c r="D468" s="67" t="s">
        <v>1233</v>
      </c>
      <c r="E468" s="79">
        <v>38574</v>
      </c>
      <c r="F468" s="32">
        <v>76</v>
      </c>
      <c r="G468" s="39" t="s">
        <v>133</v>
      </c>
      <c r="H468" s="39"/>
      <c r="I468" s="12">
        <f t="shared" si="8"/>
        <v>210467</v>
      </c>
    </row>
    <row r="469" spans="1:9">
      <c r="A469" s="2">
        <v>210468</v>
      </c>
      <c r="B469" s="67" t="s">
        <v>1234</v>
      </c>
      <c r="C469" s="67" t="s">
        <v>1235</v>
      </c>
      <c r="D469" s="67" t="s">
        <v>1236</v>
      </c>
      <c r="E469" s="79">
        <v>40006</v>
      </c>
      <c r="F469" s="32">
        <v>76</v>
      </c>
      <c r="G469" s="39" t="s">
        <v>133</v>
      </c>
      <c r="H469" s="39"/>
      <c r="I469" s="12">
        <f t="shared" si="8"/>
        <v>210468</v>
      </c>
    </row>
    <row r="470" spans="1:9">
      <c r="A470" s="2">
        <v>210469</v>
      </c>
      <c r="B470" s="67" t="s">
        <v>1237</v>
      </c>
      <c r="C470" s="67" t="s">
        <v>1238</v>
      </c>
      <c r="D470" s="67" t="s">
        <v>1239</v>
      </c>
      <c r="E470" s="79">
        <v>33705</v>
      </c>
      <c r="F470" s="32">
        <v>76</v>
      </c>
      <c r="G470" s="39" t="s">
        <v>133</v>
      </c>
      <c r="H470" s="39"/>
      <c r="I470" s="12">
        <f t="shared" si="8"/>
        <v>210469</v>
      </c>
    </row>
    <row r="471" spans="1:9">
      <c r="A471" s="2">
        <v>210470</v>
      </c>
      <c r="B471" s="67" t="s">
        <v>1240</v>
      </c>
      <c r="C471" s="67" t="s">
        <v>1241</v>
      </c>
      <c r="D471" s="67" t="s">
        <v>1242</v>
      </c>
      <c r="E471" s="79">
        <v>38757</v>
      </c>
      <c r="F471" s="32">
        <v>76</v>
      </c>
      <c r="G471" s="39" t="s">
        <v>133</v>
      </c>
      <c r="H471" s="39"/>
      <c r="I471" s="12">
        <f t="shared" si="8"/>
        <v>210470</v>
      </c>
    </row>
    <row r="472" spans="1:9">
      <c r="A472" s="2">
        <v>210471</v>
      </c>
      <c r="B472" s="67" t="s">
        <v>1243</v>
      </c>
      <c r="C472" s="67" t="s">
        <v>1244</v>
      </c>
      <c r="D472" s="67" t="s">
        <v>1245</v>
      </c>
      <c r="E472" s="79">
        <v>36195</v>
      </c>
      <c r="F472" s="32">
        <v>76</v>
      </c>
      <c r="G472" s="39" t="s">
        <v>133</v>
      </c>
      <c r="H472" s="39"/>
      <c r="I472" s="12">
        <f t="shared" si="8"/>
        <v>210471</v>
      </c>
    </row>
    <row r="473" spans="1:9">
      <c r="A473" s="2">
        <v>10472</v>
      </c>
      <c r="B473" s="67" t="s">
        <v>1246</v>
      </c>
      <c r="C473" s="67" t="s">
        <v>1247</v>
      </c>
      <c r="D473" s="67" t="s">
        <v>1248</v>
      </c>
      <c r="E473" s="79">
        <v>36258</v>
      </c>
      <c r="F473" s="32">
        <v>76</v>
      </c>
      <c r="G473" s="39" t="s">
        <v>133</v>
      </c>
      <c r="H473" s="39"/>
      <c r="I473" s="12">
        <f t="shared" si="8"/>
        <v>10472</v>
      </c>
    </row>
    <row r="474" spans="1:9">
      <c r="A474" s="2">
        <v>210473</v>
      </c>
      <c r="B474" s="67" t="s">
        <v>1249</v>
      </c>
      <c r="C474" s="67" t="s">
        <v>1250</v>
      </c>
      <c r="D474" s="67" t="s">
        <v>1251</v>
      </c>
      <c r="E474" s="79">
        <v>38966</v>
      </c>
      <c r="F474" s="32">
        <v>76</v>
      </c>
      <c r="G474" s="39" t="s">
        <v>133</v>
      </c>
      <c r="H474" s="39"/>
      <c r="I474" s="12">
        <f t="shared" si="8"/>
        <v>210473</v>
      </c>
    </row>
    <row r="475" spans="1:9">
      <c r="A475" s="2">
        <v>210474</v>
      </c>
      <c r="B475" s="67" t="s">
        <v>1252</v>
      </c>
      <c r="C475" s="67" t="s">
        <v>1253</v>
      </c>
      <c r="D475" s="2" t="s">
        <v>1254</v>
      </c>
      <c r="E475" s="79">
        <v>36987</v>
      </c>
      <c r="F475" s="32">
        <v>48</v>
      </c>
      <c r="G475" s="39" t="s">
        <v>133</v>
      </c>
      <c r="H475" s="39"/>
      <c r="I475" s="12">
        <f t="shared" si="8"/>
        <v>210474</v>
      </c>
    </row>
    <row r="476" spans="1:9">
      <c r="A476" s="2">
        <v>10475</v>
      </c>
      <c r="B476" s="67" t="s">
        <v>1255</v>
      </c>
      <c r="C476" s="67" t="s">
        <v>1256</v>
      </c>
      <c r="D476" s="67" t="s">
        <v>1257</v>
      </c>
      <c r="E476" s="79">
        <v>35648</v>
      </c>
      <c r="F476" s="32">
        <v>76</v>
      </c>
      <c r="G476" s="39" t="s">
        <v>133</v>
      </c>
      <c r="H476" s="39"/>
      <c r="I476" s="12">
        <f t="shared" si="8"/>
        <v>10475</v>
      </c>
    </row>
    <row r="477" spans="1:9">
      <c r="A477" s="2">
        <v>210476</v>
      </c>
      <c r="B477" s="67" t="s">
        <v>1258</v>
      </c>
      <c r="C477" s="67" t="s">
        <v>1259</v>
      </c>
      <c r="D477" s="67" t="s">
        <v>1260</v>
      </c>
      <c r="E477" s="79">
        <v>36220</v>
      </c>
      <c r="F477" s="32">
        <v>76</v>
      </c>
      <c r="G477" s="39" t="s">
        <v>133</v>
      </c>
      <c r="H477" s="39"/>
      <c r="I477" s="12">
        <f t="shared" si="8"/>
        <v>210476</v>
      </c>
    </row>
    <row r="478" spans="1:9">
      <c r="A478" s="2">
        <v>210477</v>
      </c>
      <c r="B478" s="67" t="s">
        <v>638</v>
      </c>
      <c r="C478" s="67" t="s">
        <v>1261</v>
      </c>
      <c r="D478" s="67" t="s">
        <v>1262</v>
      </c>
      <c r="E478" s="79">
        <v>37437</v>
      </c>
      <c r="F478" s="32">
        <v>48</v>
      </c>
      <c r="G478" s="39" t="s">
        <v>71</v>
      </c>
      <c r="H478" s="39"/>
      <c r="I478" s="12">
        <f t="shared" si="8"/>
        <v>210477</v>
      </c>
    </row>
    <row r="479" spans="1:9">
      <c r="A479" s="2">
        <v>210478</v>
      </c>
      <c r="B479" s="67" t="s">
        <v>1263</v>
      </c>
      <c r="C479" s="67" t="s">
        <v>115</v>
      </c>
      <c r="D479" s="67" t="s">
        <v>1264</v>
      </c>
      <c r="E479" s="79">
        <v>33851</v>
      </c>
      <c r="F479" s="32">
        <v>48</v>
      </c>
      <c r="G479" s="39" t="s">
        <v>71</v>
      </c>
      <c r="H479" s="39"/>
      <c r="I479" s="12">
        <f t="shared" si="8"/>
        <v>210478</v>
      </c>
    </row>
    <row r="480" spans="1:9">
      <c r="A480" s="2">
        <v>210479</v>
      </c>
      <c r="B480" s="67" t="s">
        <v>1265</v>
      </c>
      <c r="C480" s="67" t="s">
        <v>1266</v>
      </c>
      <c r="D480" s="67" t="s">
        <v>1267</v>
      </c>
      <c r="E480" s="79">
        <v>36682</v>
      </c>
      <c r="F480" s="32">
        <v>76</v>
      </c>
      <c r="G480" s="39" t="s">
        <v>71</v>
      </c>
      <c r="H480" s="39"/>
      <c r="I480" s="12">
        <f t="shared" si="8"/>
        <v>210479</v>
      </c>
    </row>
    <row r="481" spans="1:9">
      <c r="A481" s="2">
        <v>210480</v>
      </c>
      <c r="B481" s="67" t="s">
        <v>1268</v>
      </c>
      <c r="C481" s="67" t="s">
        <v>165</v>
      </c>
      <c r="D481" s="67" t="s">
        <v>1269</v>
      </c>
      <c r="E481" s="79">
        <v>38463</v>
      </c>
      <c r="F481" s="32">
        <v>48</v>
      </c>
      <c r="G481" s="39" t="s">
        <v>71</v>
      </c>
      <c r="H481" s="39"/>
      <c r="I481" s="12">
        <f t="shared" si="8"/>
        <v>210480</v>
      </c>
    </row>
    <row r="482" spans="1:9">
      <c r="A482" s="2">
        <v>210481</v>
      </c>
      <c r="B482" s="67" t="s">
        <v>1270</v>
      </c>
      <c r="C482" s="67" t="s">
        <v>1271</v>
      </c>
      <c r="D482" s="67" t="s">
        <v>1272</v>
      </c>
      <c r="E482" s="79">
        <v>37800</v>
      </c>
      <c r="F482" s="32">
        <v>76</v>
      </c>
      <c r="G482" s="39" t="s">
        <v>71</v>
      </c>
      <c r="H482" s="39"/>
      <c r="I482" s="12">
        <f t="shared" si="8"/>
        <v>210481</v>
      </c>
    </row>
    <row r="483" spans="1:9">
      <c r="A483" s="2">
        <v>210482</v>
      </c>
      <c r="B483" s="67" t="s">
        <v>1273</v>
      </c>
      <c r="C483" s="67" t="s">
        <v>1274</v>
      </c>
      <c r="D483" s="67" t="s">
        <v>1275</v>
      </c>
      <c r="E483" s="79">
        <v>37699</v>
      </c>
      <c r="F483" s="32">
        <v>48</v>
      </c>
      <c r="G483" s="39" t="s">
        <v>71</v>
      </c>
      <c r="H483" s="39"/>
      <c r="I483" s="12">
        <f t="shared" si="8"/>
        <v>210482</v>
      </c>
    </row>
    <row r="484" spans="1:9">
      <c r="A484" s="2">
        <v>210483</v>
      </c>
      <c r="B484" s="67" t="s">
        <v>1276</v>
      </c>
      <c r="C484" s="67" t="s">
        <v>1277</v>
      </c>
      <c r="D484" s="67" t="s">
        <v>1278</v>
      </c>
      <c r="E484" s="80">
        <v>37575</v>
      </c>
      <c r="F484" s="32">
        <v>76</v>
      </c>
      <c r="G484" s="39" t="s">
        <v>71</v>
      </c>
      <c r="H484" s="39"/>
      <c r="I484" s="12">
        <f t="shared" si="8"/>
        <v>210483</v>
      </c>
    </row>
    <row r="485" spans="1:9">
      <c r="A485" s="2">
        <v>210484</v>
      </c>
      <c r="B485" s="67" t="s">
        <v>1279</v>
      </c>
      <c r="C485" s="67" t="s">
        <v>306</v>
      </c>
      <c r="D485" s="67" t="s">
        <v>1280</v>
      </c>
      <c r="E485" s="79">
        <v>37519</v>
      </c>
      <c r="F485" s="32">
        <v>48</v>
      </c>
      <c r="G485" s="39" t="s">
        <v>71</v>
      </c>
      <c r="H485" s="39"/>
      <c r="I485" s="12">
        <f t="shared" si="8"/>
        <v>210484</v>
      </c>
    </row>
    <row r="486" spans="1:9">
      <c r="A486" s="2">
        <v>210485</v>
      </c>
      <c r="B486" s="67" t="s">
        <v>1281</v>
      </c>
      <c r="C486" s="67" t="s">
        <v>1282</v>
      </c>
      <c r="D486" s="67" t="s">
        <v>1283</v>
      </c>
      <c r="E486" s="79">
        <v>36140</v>
      </c>
      <c r="F486" s="32">
        <v>76</v>
      </c>
      <c r="G486" s="39" t="s">
        <v>71</v>
      </c>
      <c r="H486" s="39"/>
      <c r="I486" s="12">
        <f t="shared" si="8"/>
        <v>210485</v>
      </c>
    </row>
    <row r="487" spans="1:9">
      <c r="A487" s="2">
        <v>210486</v>
      </c>
      <c r="B487" s="67" t="s">
        <v>1284</v>
      </c>
      <c r="C487" s="67" t="s">
        <v>1285</v>
      </c>
      <c r="D487" s="67" t="s">
        <v>1286</v>
      </c>
      <c r="E487" s="79">
        <v>35622</v>
      </c>
      <c r="F487" s="32">
        <v>48</v>
      </c>
      <c r="G487" s="39" t="s">
        <v>71</v>
      </c>
      <c r="H487" s="39"/>
      <c r="I487" s="12">
        <f t="shared" si="8"/>
        <v>210486</v>
      </c>
    </row>
    <row r="488" spans="1:9">
      <c r="A488" s="2">
        <v>210487</v>
      </c>
      <c r="B488" s="67" t="s">
        <v>1287</v>
      </c>
      <c r="C488" s="67" t="s">
        <v>1288</v>
      </c>
      <c r="D488" s="67" t="s">
        <v>1289</v>
      </c>
      <c r="E488" s="79">
        <v>36284</v>
      </c>
      <c r="F488" s="32">
        <v>48</v>
      </c>
      <c r="G488" s="39" t="s">
        <v>71</v>
      </c>
      <c r="H488" s="39"/>
      <c r="I488" s="12">
        <f t="shared" si="8"/>
        <v>210487</v>
      </c>
    </row>
    <row r="489" spans="1:9">
      <c r="A489" s="2">
        <v>210488</v>
      </c>
      <c r="B489" s="67" t="s">
        <v>1290</v>
      </c>
      <c r="C489" s="67" t="s">
        <v>1291</v>
      </c>
      <c r="D489" s="67" t="s">
        <v>1292</v>
      </c>
      <c r="E489" s="79">
        <v>31783</v>
      </c>
      <c r="F489" s="32">
        <v>48</v>
      </c>
      <c r="G489" s="39" t="s">
        <v>71</v>
      </c>
      <c r="H489" s="39"/>
      <c r="I489" s="12">
        <f t="shared" si="8"/>
        <v>210488</v>
      </c>
    </row>
    <row r="490" spans="1:9">
      <c r="A490" s="2">
        <v>210489</v>
      </c>
      <c r="B490" s="67" t="s">
        <v>1293</v>
      </c>
      <c r="C490" s="67" t="s">
        <v>1294</v>
      </c>
      <c r="D490" s="67" t="s">
        <v>1295</v>
      </c>
      <c r="E490" s="79">
        <v>38332</v>
      </c>
      <c r="F490" s="32">
        <v>48</v>
      </c>
      <c r="G490" s="39" t="s">
        <v>71</v>
      </c>
      <c r="H490" s="39"/>
      <c r="I490" s="12">
        <f t="shared" si="8"/>
        <v>210489</v>
      </c>
    </row>
    <row r="491" spans="1:9">
      <c r="A491" s="2">
        <v>210490</v>
      </c>
      <c r="B491" s="67" t="s">
        <v>1296</v>
      </c>
      <c r="C491" s="67" t="s">
        <v>73</v>
      </c>
      <c r="D491" s="67" t="s">
        <v>1297</v>
      </c>
      <c r="E491" s="79">
        <v>38368</v>
      </c>
      <c r="F491" s="32">
        <v>48</v>
      </c>
      <c r="G491" s="39" t="s">
        <v>71</v>
      </c>
      <c r="H491" s="39"/>
      <c r="I491" s="12">
        <f t="shared" si="8"/>
        <v>210490</v>
      </c>
    </row>
    <row r="492" spans="1:9">
      <c r="A492" s="2">
        <v>210491</v>
      </c>
      <c r="B492" s="67" t="s">
        <v>1298</v>
      </c>
      <c r="C492" s="67" t="s">
        <v>1299</v>
      </c>
      <c r="D492" s="67" t="s">
        <v>1300</v>
      </c>
      <c r="E492" s="1"/>
      <c r="F492" s="32">
        <v>76</v>
      </c>
      <c r="G492" s="39" t="s">
        <v>71</v>
      </c>
      <c r="H492" s="39"/>
      <c r="I492" s="12">
        <f t="shared" si="8"/>
        <v>210491</v>
      </c>
    </row>
    <row r="493" spans="1:9">
      <c r="A493" s="2">
        <v>210492</v>
      </c>
      <c r="B493" s="67" t="s">
        <v>1301</v>
      </c>
      <c r="C493" s="67" t="s">
        <v>1302</v>
      </c>
      <c r="D493" s="67" t="s">
        <v>1303</v>
      </c>
      <c r="E493" s="79">
        <v>37551</v>
      </c>
      <c r="F493" s="32">
        <v>48</v>
      </c>
      <c r="G493" s="39" t="s">
        <v>71</v>
      </c>
      <c r="H493" s="39"/>
      <c r="I493" s="12">
        <f t="shared" si="8"/>
        <v>210492</v>
      </c>
    </row>
    <row r="494" spans="1:9">
      <c r="A494" s="2">
        <v>210493</v>
      </c>
      <c r="B494" s="67" t="s">
        <v>1304</v>
      </c>
      <c r="C494" s="67" t="s">
        <v>1192</v>
      </c>
      <c r="D494" s="67" t="s">
        <v>1305</v>
      </c>
      <c r="E494" s="79">
        <v>38491</v>
      </c>
      <c r="F494" s="32">
        <v>48</v>
      </c>
      <c r="G494" s="39" t="s">
        <v>71</v>
      </c>
      <c r="I494" s="12">
        <f t="shared" si="8"/>
        <v>210493</v>
      </c>
    </row>
    <row r="495" spans="1:9">
      <c r="A495" s="2">
        <v>210494</v>
      </c>
      <c r="B495" s="67" t="s">
        <v>1306</v>
      </c>
      <c r="C495" s="67" t="s">
        <v>1307</v>
      </c>
      <c r="D495" s="67" t="s">
        <v>1308</v>
      </c>
      <c r="E495" s="79">
        <v>36786</v>
      </c>
      <c r="F495" s="32">
        <v>76</v>
      </c>
      <c r="G495" s="39" t="s">
        <v>71</v>
      </c>
      <c r="I495" s="12">
        <f t="shared" si="8"/>
        <v>210494</v>
      </c>
    </row>
    <row r="496" spans="1:9">
      <c r="A496" s="2">
        <v>10495</v>
      </c>
      <c r="B496" s="67" t="s">
        <v>1309</v>
      </c>
      <c r="C496" s="67" t="s">
        <v>115</v>
      </c>
      <c r="D496" s="67" t="s">
        <v>1310</v>
      </c>
      <c r="E496" s="79">
        <v>36753</v>
      </c>
      <c r="F496" s="32">
        <v>48</v>
      </c>
      <c r="G496" s="39" t="s">
        <v>71</v>
      </c>
      <c r="I496" s="12">
        <f t="shared" si="8"/>
        <v>10495</v>
      </c>
    </row>
    <row r="497" spans="1:9">
      <c r="A497" s="2">
        <v>210496</v>
      </c>
      <c r="B497" s="67" t="s">
        <v>1311</v>
      </c>
      <c r="C497" s="67" t="s">
        <v>800</v>
      </c>
      <c r="D497" s="67" t="s">
        <v>1312</v>
      </c>
      <c r="E497" s="79">
        <v>35044</v>
      </c>
      <c r="F497" s="32">
        <v>76</v>
      </c>
      <c r="G497" s="39" t="s">
        <v>133</v>
      </c>
      <c r="I497" s="12">
        <f t="shared" si="8"/>
        <v>210496</v>
      </c>
    </row>
    <row r="498" spans="1:9">
      <c r="A498" s="2">
        <v>210497</v>
      </c>
      <c r="B498" s="67" t="s">
        <v>1313</v>
      </c>
      <c r="C498" s="67" t="s">
        <v>1313</v>
      </c>
      <c r="D498" s="67" t="s">
        <v>1314</v>
      </c>
      <c r="E498" s="79">
        <v>34099</v>
      </c>
      <c r="F498" s="32">
        <v>48</v>
      </c>
      <c r="G498" s="39" t="s">
        <v>133</v>
      </c>
      <c r="I498" s="12">
        <f t="shared" si="8"/>
        <v>210497</v>
      </c>
    </row>
    <row r="499" spans="1:9">
      <c r="A499" s="2">
        <v>210498</v>
      </c>
      <c r="B499" s="67" t="s">
        <v>1315</v>
      </c>
      <c r="C499" s="67" t="s">
        <v>1316</v>
      </c>
      <c r="D499" s="67" t="s">
        <v>1317</v>
      </c>
      <c r="E499" s="79">
        <v>38427</v>
      </c>
      <c r="F499" s="32">
        <v>48</v>
      </c>
      <c r="G499" s="39" t="s">
        <v>133</v>
      </c>
      <c r="I499" s="12">
        <f t="shared" si="8"/>
        <v>210498</v>
      </c>
    </row>
    <row r="500" spans="1:9">
      <c r="A500" s="2">
        <v>210499</v>
      </c>
      <c r="B500" s="67" t="s">
        <v>1318</v>
      </c>
      <c r="C500" s="67" t="s">
        <v>189</v>
      </c>
      <c r="D500" s="67" t="s">
        <v>1319</v>
      </c>
      <c r="E500" s="1">
        <v>39019</v>
      </c>
      <c r="F500" s="32">
        <v>48</v>
      </c>
      <c r="G500" s="39" t="s">
        <v>133</v>
      </c>
      <c r="I500" s="12">
        <f t="shared" si="8"/>
        <v>210499</v>
      </c>
    </row>
    <row r="501" spans="1:9">
      <c r="A501" s="2">
        <v>210500</v>
      </c>
      <c r="B501" s="67" t="s">
        <v>1320</v>
      </c>
      <c r="C501" s="67" t="s">
        <v>1321</v>
      </c>
      <c r="D501" s="67" t="s">
        <v>1322</v>
      </c>
      <c r="E501" s="79">
        <v>34944</v>
      </c>
      <c r="F501" s="32">
        <v>48</v>
      </c>
      <c r="G501" s="39" t="s">
        <v>133</v>
      </c>
      <c r="I501" s="12">
        <f t="shared" si="8"/>
        <v>210500</v>
      </c>
    </row>
    <row r="502" spans="1:9">
      <c r="A502" s="2">
        <v>210501</v>
      </c>
      <c r="B502" s="67" t="s">
        <v>1323</v>
      </c>
      <c r="C502" s="67" t="s">
        <v>1324</v>
      </c>
      <c r="D502" s="67" t="s">
        <v>1325</v>
      </c>
      <c r="E502" s="79">
        <v>36871</v>
      </c>
      <c r="F502" s="32">
        <v>48</v>
      </c>
      <c r="G502" s="39" t="s">
        <v>133</v>
      </c>
      <c r="I502" s="12">
        <f t="shared" si="8"/>
        <v>210501</v>
      </c>
    </row>
    <row r="503" spans="1:9">
      <c r="A503" s="2">
        <v>210502</v>
      </c>
      <c r="B503" s="67" t="s">
        <v>1326</v>
      </c>
      <c r="C503" s="67" t="s">
        <v>1327</v>
      </c>
      <c r="D503" s="67" t="s">
        <v>1328</v>
      </c>
      <c r="E503" s="79">
        <v>37577</v>
      </c>
      <c r="F503" s="32">
        <v>48</v>
      </c>
      <c r="G503" s="39" t="s">
        <v>133</v>
      </c>
      <c r="I503" s="12">
        <f t="shared" si="8"/>
        <v>210502</v>
      </c>
    </row>
    <row r="504" spans="1:9">
      <c r="A504" s="2">
        <v>210503</v>
      </c>
      <c r="B504" s="67" t="s">
        <v>1329</v>
      </c>
      <c r="C504" s="67" t="s">
        <v>1070</v>
      </c>
      <c r="D504" s="67" t="s">
        <v>1330</v>
      </c>
      <c r="E504" s="79">
        <v>33763</v>
      </c>
      <c r="F504" s="32">
        <v>48</v>
      </c>
      <c r="G504" s="39" t="s">
        <v>1331</v>
      </c>
      <c r="I504" s="12">
        <f t="shared" si="8"/>
        <v>210503</v>
      </c>
    </row>
    <row r="505" spans="1:9">
      <c r="A505" s="2">
        <v>210504</v>
      </c>
      <c r="B505" s="67" t="s">
        <v>1332</v>
      </c>
      <c r="C505" s="67" t="s">
        <v>1333</v>
      </c>
      <c r="D505" s="67" t="s">
        <v>1334</v>
      </c>
      <c r="E505" s="79">
        <v>29037</v>
      </c>
      <c r="F505" s="32">
        <v>48</v>
      </c>
      <c r="G505" s="39" t="s">
        <v>71</v>
      </c>
      <c r="I505" s="12">
        <f t="shared" si="8"/>
        <v>210504</v>
      </c>
    </row>
    <row r="506" spans="1:9">
      <c r="A506" s="2">
        <v>10505</v>
      </c>
      <c r="B506" s="67" t="s">
        <v>1335</v>
      </c>
      <c r="C506" s="67" t="s">
        <v>73</v>
      </c>
      <c r="D506" s="67" t="s">
        <v>1336</v>
      </c>
      <c r="E506" s="79">
        <v>36243</v>
      </c>
      <c r="F506" s="32">
        <v>48</v>
      </c>
      <c r="G506" s="39" t="s">
        <v>71</v>
      </c>
      <c r="H506" s="2"/>
      <c r="I506" s="12">
        <f t="shared" si="8"/>
        <v>10505</v>
      </c>
    </row>
    <row r="507" spans="1:9">
      <c r="A507" s="2">
        <v>210506</v>
      </c>
      <c r="B507" s="67" t="s">
        <v>928</v>
      </c>
      <c r="C507" s="67" t="s">
        <v>1337</v>
      </c>
      <c r="D507" s="67" t="s">
        <v>1338</v>
      </c>
      <c r="E507" s="79">
        <v>37805</v>
      </c>
      <c r="F507" s="32">
        <v>48</v>
      </c>
      <c r="G507" s="39" t="s">
        <v>1331</v>
      </c>
      <c r="I507" s="12">
        <f t="shared" si="8"/>
        <v>210506</v>
      </c>
    </row>
    <row r="508" spans="1:9">
      <c r="A508" s="2">
        <v>210507</v>
      </c>
      <c r="B508" s="67" t="s">
        <v>1339</v>
      </c>
      <c r="C508" s="67" t="s">
        <v>1340</v>
      </c>
      <c r="D508" s="67" t="s">
        <v>1341</v>
      </c>
      <c r="E508" s="79">
        <v>38605</v>
      </c>
      <c r="F508" s="32">
        <v>48</v>
      </c>
      <c r="G508" s="39" t="s">
        <v>1331</v>
      </c>
      <c r="I508" s="12">
        <f t="shared" si="8"/>
        <v>210507</v>
      </c>
    </row>
    <row r="509" spans="1:9">
      <c r="A509" s="2">
        <v>210508</v>
      </c>
      <c r="B509" s="67" t="s">
        <v>1342</v>
      </c>
      <c r="C509" s="67" t="s">
        <v>1343</v>
      </c>
      <c r="D509" s="67" t="s">
        <v>1344</v>
      </c>
      <c r="E509" s="79">
        <v>38176</v>
      </c>
      <c r="F509" s="32">
        <v>48</v>
      </c>
      <c r="G509" s="39" t="s">
        <v>1331</v>
      </c>
      <c r="I509" s="12">
        <f t="shared" si="8"/>
        <v>210508</v>
      </c>
    </row>
    <row r="510" spans="1:9">
      <c r="A510" s="2">
        <v>210509</v>
      </c>
      <c r="B510" s="67" t="s">
        <v>1345</v>
      </c>
      <c r="C510" s="67" t="s">
        <v>1346</v>
      </c>
      <c r="D510" s="67" t="s">
        <v>1347</v>
      </c>
      <c r="E510" s="79">
        <v>38954</v>
      </c>
      <c r="F510" s="32">
        <v>48</v>
      </c>
      <c r="G510" s="39" t="s">
        <v>133</v>
      </c>
      <c r="I510" s="12">
        <f t="shared" si="8"/>
        <v>210509</v>
      </c>
    </row>
    <row r="511" spans="1:9">
      <c r="A511" s="2">
        <v>210510</v>
      </c>
      <c r="B511" s="67" t="s">
        <v>1348</v>
      </c>
      <c r="C511" s="67" t="s">
        <v>1349</v>
      </c>
      <c r="D511" s="67" t="s">
        <v>1350</v>
      </c>
      <c r="E511" s="79">
        <v>34530</v>
      </c>
      <c r="F511" s="32">
        <v>48</v>
      </c>
      <c r="G511" s="39" t="s">
        <v>133</v>
      </c>
      <c r="I511" s="12">
        <f t="shared" si="8"/>
        <v>210510</v>
      </c>
    </row>
    <row r="512" spans="1:9">
      <c r="A512" s="2">
        <v>210511</v>
      </c>
      <c r="B512" s="67" t="s">
        <v>1351</v>
      </c>
      <c r="C512" s="67" t="s">
        <v>1351</v>
      </c>
      <c r="D512" s="67" t="s">
        <v>1352</v>
      </c>
      <c r="E512" s="79">
        <v>33396</v>
      </c>
      <c r="F512" s="32">
        <v>48</v>
      </c>
      <c r="G512" s="39" t="s">
        <v>1331</v>
      </c>
      <c r="I512" s="12">
        <f t="shared" si="8"/>
        <v>210511</v>
      </c>
    </row>
    <row r="513" spans="1:9">
      <c r="A513" s="2">
        <v>210512</v>
      </c>
      <c r="B513" s="67" t="s">
        <v>1353</v>
      </c>
      <c r="C513" s="67" t="s">
        <v>171</v>
      </c>
      <c r="D513" s="67" t="s">
        <v>1354</v>
      </c>
      <c r="E513" s="79">
        <v>40422</v>
      </c>
      <c r="F513" s="32">
        <v>48</v>
      </c>
      <c r="G513" s="39" t="s">
        <v>1331</v>
      </c>
      <c r="I513" s="12">
        <f t="shared" si="8"/>
        <v>210512</v>
      </c>
    </row>
    <row r="514" spans="1:9">
      <c r="A514" s="2">
        <v>210513</v>
      </c>
      <c r="B514" s="67" t="s">
        <v>1355</v>
      </c>
      <c r="C514" s="67" t="s">
        <v>1356</v>
      </c>
      <c r="D514" s="67" t="s">
        <v>1357</v>
      </c>
      <c r="E514" s="79">
        <v>34210</v>
      </c>
      <c r="F514" s="32">
        <v>48</v>
      </c>
      <c r="G514" s="39" t="s">
        <v>1331</v>
      </c>
      <c r="H514" s="2"/>
      <c r="I514" s="12">
        <f t="shared" ref="I514:I577" si="9">A514</f>
        <v>210513</v>
      </c>
    </row>
    <row r="515" spans="1:9">
      <c r="A515" s="2"/>
      <c r="B515" s="2"/>
      <c r="C515" s="2"/>
      <c r="D515" s="2"/>
      <c r="E515" s="1"/>
      <c r="G515" s="39"/>
      <c r="I515" s="12">
        <f t="shared" si="9"/>
        <v>0</v>
      </c>
    </row>
    <row r="516" spans="1:9">
      <c r="I516" s="12">
        <f t="shared" si="9"/>
        <v>0</v>
      </c>
    </row>
    <row r="517" spans="1:9">
      <c r="I517" s="12">
        <f t="shared" si="9"/>
        <v>0</v>
      </c>
    </row>
    <row r="518" spans="1:9">
      <c r="I518" s="12">
        <f t="shared" si="9"/>
        <v>0</v>
      </c>
    </row>
    <row r="519" spans="1:9">
      <c r="I519" s="12">
        <f t="shared" si="9"/>
        <v>0</v>
      </c>
    </row>
    <row r="520" spans="1:9">
      <c r="I520" s="12">
        <f t="shared" si="9"/>
        <v>0</v>
      </c>
    </row>
    <row r="521" spans="1:9">
      <c r="I521" s="12">
        <f t="shared" si="9"/>
        <v>0</v>
      </c>
    </row>
    <row r="522" spans="1:9">
      <c r="I522" s="12">
        <f t="shared" si="9"/>
        <v>0</v>
      </c>
    </row>
    <row r="523" spans="1:9">
      <c r="I523" s="12">
        <f t="shared" si="9"/>
        <v>0</v>
      </c>
    </row>
    <row r="524" spans="1:9">
      <c r="I524" s="12">
        <f t="shared" si="9"/>
        <v>0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1.5" defaultRowHeight="13"/>
  <cols>
    <col min="1" max="1" width="15" style="9" customWidth="1"/>
  </cols>
  <sheetData>
    <row r="1" spans="1:6" ht="14">
      <c r="A1" s="83" t="s">
        <v>1</v>
      </c>
      <c r="B1" s="82" t="s">
        <v>45</v>
      </c>
      <c r="D1" t="s">
        <v>9</v>
      </c>
      <c r="E1" s="40">
        <v>0.91666666666666663</v>
      </c>
      <c r="F1" s="40">
        <v>1</v>
      </c>
    </row>
    <row r="2" spans="1:6">
      <c r="A2" s="9">
        <v>501</v>
      </c>
      <c r="B2" s="39" t="s">
        <v>1358</v>
      </c>
      <c r="D2" t="s">
        <v>10</v>
      </c>
      <c r="E2" s="40">
        <v>1</v>
      </c>
      <c r="F2" s="40">
        <v>0.25</v>
      </c>
    </row>
    <row r="3" spans="1:6">
      <c r="A3" s="8" t="s">
        <v>1359</v>
      </c>
      <c r="B3" s="39" t="s">
        <v>1358</v>
      </c>
      <c r="D3" s="2"/>
      <c r="E3" s="40"/>
      <c r="F3" s="40"/>
    </row>
    <row r="4" spans="1:6">
      <c r="A4" s="8" t="s">
        <v>1360</v>
      </c>
      <c r="B4" s="39" t="s">
        <v>1358</v>
      </c>
      <c r="D4" s="2" t="s">
        <v>1361</v>
      </c>
      <c r="E4">
        <v>5.5</v>
      </c>
    </row>
    <row r="5" spans="1:6">
      <c r="A5" s="8" t="s">
        <v>1362</v>
      </c>
      <c r="B5" s="39" t="s">
        <v>1358</v>
      </c>
      <c r="D5" s="2" t="s">
        <v>1363</v>
      </c>
      <c r="E5">
        <v>9.5</v>
      </c>
    </row>
    <row r="6" spans="1:6">
      <c r="A6" s="8" t="s">
        <v>1364</v>
      </c>
      <c r="B6" s="39" t="s">
        <v>1358</v>
      </c>
      <c r="D6" s="2"/>
    </row>
    <row r="7" spans="1:6">
      <c r="A7" s="8" t="s">
        <v>1365</v>
      </c>
      <c r="B7" s="39" t="s">
        <v>1358</v>
      </c>
      <c r="D7" s="2"/>
    </row>
    <row r="8" spans="1:6">
      <c r="A8" s="8" t="s">
        <v>1366</v>
      </c>
      <c r="B8" s="39" t="s">
        <v>1358</v>
      </c>
      <c r="D8" s="2"/>
    </row>
    <row r="9" spans="1:6">
      <c r="A9" s="8" t="s">
        <v>1367</v>
      </c>
      <c r="B9" s="39" t="s">
        <v>1358</v>
      </c>
      <c r="D9" s="2"/>
    </row>
    <row r="10" spans="1:6">
      <c r="A10" s="8" t="s">
        <v>1368</v>
      </c>
      <c r="B10" s="39" t="s">
        <v>1358</v>
      </c>
      <c r="D10" s="2"/>
    </row>
    <row r="11" spans="1:6">
      <c r="A11" s="8" t="s">
        <v>1369</v>
      </c>
      <c r="B11" s="39" t="s">
        <v>1358</v>
      </c>
      <c r="D11" s="2"/>
    </row>
    <row r="12" spans="1:6">
      <c r="A12" s="8" t="s">
        <v>1370</v>
      </c>
      <c r="B12" s="39" t="s">
        <v>1358</v>
      </c>
      <c r="D12" s="2"/>
    </row>
    <row r="13" spans="1:6">
      <c r="A13" s="8" t="s">
        <v>1371</v>
      </c>
      <c r="B13" s="39" t="s">
        <v>1372</v>
      </c>
      <c r="D13" s="2"/>
    </row>
    <row r="14" spans="1:6">
      <c r="A14" s="8" t="s">
        <v>1373</v>
      </c>
      <c r="B14" s="39" t="s">
        <v>1358</v>
      </c>
      <c r="D14" s="2"/>
    </row>
    <row r="15" spans="1:6">
      <c r="A15" s="8" t="s">
        <v>1374</v>
      </c>
      <c r="B15" s="39" t="s">
        <v>1375</v>
      </c>
      <c r="D15" s="2"/>
    </row>
    <row r="16" spans="1:6">
      <c r="A16" s="8" t="s">
        <v>1376</v>
      </c>
      <c r="B16" s="39" t="s">
        <v>1358</v>
      </c>
      <c r="D16" s="2"/>
    </row>
    <row r="17" spans="1:4">
      <c r="A17" s="8" t="s">
        <v>1377</v>
      </c>
      <c r="B17" s="39" t="s">
        <v>1358</v>
      </c>
      <c r="D17" s="2"/>
    </row>
    <row r="18" spans="1:4">
      <c r="A18" s="8" t="s">
        <v>1378</v>
      </c>
      <c r="B18" s="39" t="s">
        <v>1358</v>
      </c>
      <c r="D18" s="2"/>
    </row>
    <row r="19" spans="1:4">
      <c r="A19" s="8" t="s">
        <v>1379</v>
      </c>
      <c r="B19" s="39" t="s">
        <v>1375</v>
      </c>
      <c r="D19" s="2"/>
    </row>
    <row r="20" spans="1:4">
      <c r="A20" s="8" t="s">
        <v>1380</v>
      </c>
      <c r="B20" s="39" t="s">
        <v>1375</v>
      </c>
      <c r="D20" s="2"/>
    </row>
    <row r="21" spans="1:4">
      <c r="A21" s="8" t="s">
        <v>1381</v>
      </c>
      <c r="B21" s="39" t="s">
        <v>1358</v>
      </c>
      <c r="D21" s="2"/>
    </row>
    <row r="22" spans="1:4">
      <c r="A22" s="8" t="s">
        <v>1382</v>
      </c>
      <c r="B22" s="39" t="s">
        <v>1375</v>
      </c>
    </row>
    <row r="23" spans="1:4">
      <c r="A23" s="8" t="s">
        <v>1383</v>
      </c>
      <c r="B23" s="39" t="s">
        <v>1375</v>
      </c>
    </row>
    <row r="24" spans="1:4">
      <c r="A24" s="8" t="s">
        <v>1384</v>
      </c>
      <c r="B24" s="39" t="s">
        <v>1375</v>
      </c>
    </row>
    <row r="25" spans="1:4">
      <c r="A25" s="8" t="s">
        <v>1385</v>
      </c>
      <c r="B25" s="39" t="s">
        <v>1375</v>
      </c>
    </row>
    <row r="26" spans="1:4">
      <c r="A26" s="8" t="s">
        <v>1386</v>
      </c>
      <c r="B26" s="39"/>
    </row>
    <row r="27" spans="1:4">
      <c r="A27" s="8" t="s">
        <v>1387</v>
      </c>
      <c r="B27" s="39" t="s">
        <v>1375</v>
      </c>
    </row>
    <row r="28" spans="1:4">
      <c r="A28" s="8" t="s">
        <v>1388</v>
      </c>
      <c r="B28" s="39" t="s">
        <v>1375</v>
      </c>
    </row>
    <row r="29" spans="1:4">
      <c r="A29" s="8" t="s">
        <v>1389</v>
      </c>
      <c r="B29" s="39" t="s">
        <v>1372</v>
      </c>
    </row>
    <row r="30" spans="1:4">
      <c r="A30" s="8" t="s">
        <v>1390</v>
      </c>
      <c r="B30" s="39" t="s">
        <v>1375</v>
      </c>
    </row>
    <row r="31" spans="1:4">
      <c r="A31" s="8" t="s">
        <v>31</v>
      </c>
      <c r="B31" s="39" t="s">
        <v>1375</v>
      </c>
    </row>
    <row r="32" spans="1:4">
      <c r="A32" s="8" t="s">
        <v>1391</v>
      </c>
      <c r="B32" s="39" t="s">
        <v>1372</v>
      </c>
    </row>
    <row r="33" spans="1:2">
      <c r="A33" s="8" t="s">
        <v>1392</v>
      </c>
      <c r="B33" s="39" t="s">
        <v>1393</v>
      </c>
    </row>
    <row r="34" spans="1:2">
      <c r="A34" s="8" t="s">
        <v>1394</v>
      </c>
      <c r="B34" s="39" t="s">
        <v>1393</v>
      </c>
    </row>
    <row r="35" spans="1:2">
      <c r="A35" s="8" t="s">
        <v>1395</v>
      </c>
      <c r="B35" s="39" t="s">
        <v>1375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ColWidth="11.5" defaultRowHeight="13"/>
  <cols>
    <col min="1" max="1" width="18.1640625" bestFit="1" customWidth="1"/>
  </cols>
  <sheetData>
    <row r="1" spans="1:2">
      <c r="A1" t="s">
        <v>1396</v>
      </c>
      <c r="B1" t="s">
        <v>1397</v>
      </c>
    </row>
    <row r="2" spans="1:2">
      <c r="A2" s="1">
        <v>44562</v>
      </c>
      <c r="B2" t="s">
        <v>1398</v>
      </c>
    </row>
    <row r="3" spans="1:2">
      <c r="A3" s="1">
        <v>44927</v>
      </c>
      <c r="B3" t="s">
        <v>1398</v>
      </c>
    </row>
    <row r="4" spans="1:2">
      <c r="A4" s="1">
        <v>45292</v>
      </c>
      <c r="B4" t="s">
        <v>1398</v>
      </c>
    </row>
    <row r="5" spans="1:2">
      <c r="A5" s="1">
        <v>45658</v>
      </c>
      <c r="B5" t="s">
        <v>1398</v>
      </c>
    </row>
    <row r="6" spans="1:2">
      <c r="A6" s="1">
        <v>44564</v>
      </c>
      <c r="B6" t="s">
        <v>1399</v>
      </c>
    </row>
    <row r="7" spans="1:2">
      <c r="A7" s="1">
        <v>44928</v>
      </c>
      <c r="B7" t="s">
        <v>1399</v>
      </c>
    </row>
    <row r="8" spans="1:2">
      <c r="A8" s="1">
        <v>44587</v>
      </c>
      <c r="B8" t="s">
        <v>1400</v>
      </c>
    </row>
    <row r="9" spans="1:2">
      <c r="A9" s="1">
        <v>44952</v>
      </c>
      <c r="B9" t="s">
        <v>1400</v>
      </c>
    </row>
    <row r="10" spans="1:2">
      <c r="A10" s="1">
        <v>45317</v>
      </c>
      <c r="B10" t="s">
        <v>1400</v>
      </c>
    </row>
    <row r="11" spans="1:2">
      <c r="A11" s="1">
        <v>45684</v>
      </c>
      <c r="B11" t="s">
        <v>1400</v>
      </c>
    </row>
    <row r="12" spans="1:2">
      <c r="A12" s="1">
        <v>44666</v>
      </c>
      <c r="B12" t="s">
        <v>1401</v>
      </c>
    </row>
    <row r="13" spans="1:2">
      <c r="A13" s="1">
        <v>45023</v>
      </c>
      <c r="B13" t="s">
        <v>1401</v>
      </c>
    </row>
    <row r="14" spans="1:2">
      <c r="A14" s="1">
        <v>45380</v>
      </c>
      <c r="B14" t="s">
        <v>1401</v>
      </c>
    </row>
    <row r="15" spans="1:2">
      <c r="A15" s="1">
        <v>45765</v>
      </c>
      <c r="B15" t="s">
        <v>1401</v>
      </c>
    </row>
    <row r="16" spans="1:2">
      <c r="A16" s="1">
        <v>44667</v>
      </c>
      <c r="B16" t="s">
        <v>1402</v>
      </c>
    </row>
    <row r="17" spans="1:2">
      <c r="A17" s="1">
        <v>45024</v>
      </c>
      <c r="B17" t="s">
        <v>1402</v>
      </c>
    </row>
    <row r="18" spans="1:2">
      <c r="A18" s="1">
        <v>45381</v>
      </c>
      <c r="B18" t="s">
        <v>1402</v>
      </c>
    </row>
    <row r="19" spans="1:2">
      <c r="A19" s="1">
        <v>45766</v>
      </c>
      <c r="B19" t="s">
        <v>1402</v>
      </c>
    </row>
    <row r="20" spans="1:2">
      <c r="A20" s="1">
        <v>44668</v>
      </c>
      <c r="B20" t="s">
        <v>1403</v>
      </c>
    </row>
    <row r="21" spans="1:2">
      <c r="A21" s="1">
        <v>45025</v>
      </c>
      <c r="B21" s="2" t="s">
        <v>1404</v>
      </c>
    </row>
    <row r="22" spans="1:2">
      <c r="A22" s="1">
        <v>45382</v>
      </c>
      <c r="B22" s="2" t="s">
        <v>1404</v>
      </c>
    </row>
    <row r="23" spans="1:2">
      <c r="A23" s="1">
        <v>45767</v>
      </c>
      <c r="B23" s="2" t="s">
        <v>1404</v>
      </c>
    </row>
    <row r="24" spans="1:2">
      <c r="A24" s="1">
        <v>45026</v>
      </c>
      <c r="B24" s="2" t="s">
        <v>1403</v>
      </c>
    </row>
    <row r="25" spans="1:2">
      <c r="A25" s="1">
        <v>45768</v>
      </c>
      <c r="B25" s="2" t="s">
        <v>1403</v>
      </c>
    </row>
    <row r="26" spans="1:2">
      <c r="A26" s="1">
        <v>44676</v>
      </c>
      <c r="B26" t="s">
        <v>1405</v>
      </c>
    </row>
    <row r="27" spans="1:2">
      <c r="A27" s="1">
        <v>45041</v>
      </c>
      <c r="B27" t="s">
        <v>1405</v>
      </c>
    </row>
    <row r="28" spans="1:2">
      <c r="A28" s="1">
        <v>45407</v>
      </c>
      <c r="B28" t="s">
        <v>1405</v>
      </c>
    </row>
    <row r="29" spans="1:2">
      <c r="A29" s="1">
        <v>45772</v>
      </c>
      <c r="B29" t="s">
        <v>1405</v>
      </c>
    </row>
    <row r="30" spans="1:2">
      <c r="A30" s="1">
        <v>44725</v>
      </c>
      <c r="B30" t="s">
        <v>1406</v>
      </c>
    </row>
    <row r="31" spans="1:2">
      <c r="A31" s="1">
        <v>45089</v>
      </c>
      <c r="B31" t="s">
        <v>1406</v>
      </c>
    </row>
    <row r="32" spans="1:2">
      <c r="A32" s="1">
        <v>45453</v>
      </c>
      <c r="B32" t="s">
        <v>1406</v>
      </c>
    </row>
    <row r="33" spans="1:2">
      <c r="A33" s="1">
        <v>45817</v>
      </c>
      <c r="B33" s="2" t="s">
        <v>1407</v>
      </c>
    </row>
    <row r="34" spans="1:2">
      <c r="A34" s="1">
        <v>44837</v>
      </c>
      <c r="B34" t="s">
        <v>1408</v>
      </c>
    </row>
    <row r="35" spans="1:2">
      <c r="A35" s="1">
        <v>45201</v>
      </c>
      <c r="B35" t="s">
        <v>1408</v>
      </c>
    </row>
    <row r="36" spans="1:2">
      <c r="A36" s="1">
        <v>45572</v>
      </c>
      <c r="B36" t="s">
        <v>1408</v>
      </c>
    </row>
    <row r="37" spans="1:2">
      <c r="A37" s="1">
        <v>45936</v>
      </c>
      <c r="B37" t="s">
        <v>1408</v>
      </c>
    </row>
    <row r="38" spans="1:2">
      <c r="A38" s="1">
        <v>44920</v>
      </c>
      <c r="B38" t="s">
        <v>1409</v>
      </c>
    </row>
    <row r="39" spans="1:2">
      <c r="A39" s="1">
        <v>45285</v>
      </c>
      <c r="B39" t="s">
        <v>1409</v>
      </c>
    </row>
    <row r="40" spans="1:2">
      <c r="A40" s="1">
        <v>45651</v>
      </c>
      <c r="B40" t="s">
        <v>1409</v>
      </c>
    </row>
    <row r="41" spans="1:2">
      <c r="A41" s="1">
        <v>46016</v>
      </c>
      <c r="B41" t="s">
        <v>1409</v>
      </c>
    </row>
    <row r="42" spans="1:2">
      <c r="A42" s="1">
        <v>44922</v>
      </c>
      <c r="B42" t="s">
        <v>1399</v>
      </c>
    </row>
    <row r="43" spans="1:2">
      <c r="A43" s="1">
        <v>44921</v>
      </c>
      <c r="B43" t="s">
        <v>1410</v>
      </c>
    </row>
    <row r="44" spans="1:2">
      <c r="A44" s="1">
        <v>45286</v>
      </c>
      <c r="B44" t="s">
        <v>1410</v>
      </c>
    </row>
    <row r="45" spans="1:2">
      <c r="A45" s="1">
        <v>45652</v>
      </c>
      <c r="B45" t="s">
        <v>1410</v>
      </c>
    </row>
    <row r="46" spans="1:2">
      <c r="A46" s="1">
        <v>45652</v>
      </c>
      <c r="B46" t="s">
        <v>1410</v>
      </c>
    </row>
    <row r="47" spans="1:2">
      <c r="A47" s="1">
        <v>44826</v>
      </c>
      <c r="B47" s="2" t="s">
        <v>1411</v>
      </c>
    </row>
    <row r="48" spans="1:2">
      <c r="A48" s="1">
        <v>45383</v>
      </c>
      <c r="B48" s="2" t="s">
        <v>1403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Gong Cha</dc:creator>
  <cp:keywords/>
  <dc:description/>
  <cp:lastModifiedBy>Operations Gongcha</cp:lastModifiedBy>
  <cp:revision/>
  <dcterms:created xsi:type="dcterms:W3CDTF">2018-08-22T06:29:13Z</dcterms:created>
  <dcterms:modified xsi:type="dcterms:W3CDTF">2025-11-09T12:43:59Z</dcterms:modified>
  <cp:category/>
  <cp:contentStatus/>
</cp:coreProperties>
</file>