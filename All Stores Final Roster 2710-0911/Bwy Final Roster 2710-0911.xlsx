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93064D66-4566-3441-8AB4-7CEDA3126267}" xr6:coauthVersionLast="47" xr6:coauthVersionMax="47" xr10:uidLastSave="{00000000-0000-0000-0000-000000000000}"/>
  <bookViews>
    <workbookView xWindow="0" yWindow="740" windowWidth="28800" windowHeight="1624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 l="1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11" i="2" l="1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3" i="12" a="1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/>
  <c r="T2" i="12" l="1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Z3" i="12" s="1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D3" i="12" s="1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C8" i="12" l="1"/>
  <c r="AQ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V8" i="12"/>
  <c r="S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K10" i="12"/>
  <c r="AE10" i="12"/>
  <c r="AA10" i="12"/>
  <c r="AH10" i="12"/>
  <c r="E10" i="12"/>
  <c r="AN10" i="12"/>
  <c r="AC10" i="12"/>
  <c r="AQ10" i="12"/>
  <c r="AR10" i="12"/>
  <c r="AF10" i="12"/>
  <c r="AG10" i="12"/>
  <c r="D10" i="12"/>
  <c r="AL10" i="12"/>
  <c r="C10" i="12"/>
  <c r="AT10" i="12"/>
  <c r="J10" i="12"/>
  <c r="Y10" i="12"/>
  <c r="I10" i="12"/>
  <c r="AB10" i="12"/>
  <c r="AM10" i="12"/>
  <c r="AD10" i="12" l="1"/>
  <c r="R10" i="12" s="1"/>
  <c r="AS10" i="12"/>
  <c r="U10" i="12" s="1"/>
  <c r="Z10" i="12"/>
  <c r="N10" i="12" s="1"/>
  <c r="AO10" i="12"/>
  <c r="M10" i="12"/>
  <c r="T10" i="12"/>
  <c r="V10" i="12"/>
  <c r="S10" i="12"/>
  <c r="O10" i="12"/>
  <c r="P10" i="12"/>
  <c r="F10" i="12"/>
  <c r="G10" i="12"/>
  <c r="AU10" i="12" l="1"/>
  <c r="AI10" i="12"/>
  <c r="Q10" i="12"/>
  <c r="W10" i="12" s="1"/>
  <c r="H10" i="12"/>
  <c r="A11" i="12" a="1"/>
  <c r="A11" i="12" l="1"/>
  <c r="K11" i="12" l="1"/>
  <c r="D11" i="12"/>
  <c r="I11" i="12"/>
  <c r="AQ11" i="12"/>
  <c r="AL11" i="12"/>
  <c r="B11" i="12"/>
  <c r="AC11" i="12"/>
  <c r="AK11" i="12"/>
  <c r="L11" i="12"/>
  <c r="AD11" i="12"/>
  <c r="AR11" i="12"/>
  <c r="AS11" i="12"/>
  <c r="AF11" i="12"/>
  <c r="AO11" i="12"/>
  <c r="Y11" i="12"/>
  <c r="AG11" i="12"/>
  <c r="AM11" i="12"/>
  <c r="C11" i="12"/>
  <c r="AP11" i="12"/>
  <c r="AB11" i="12"/>
  <c r="AE11" i="12"/>
  <c r="AH11" i="12"/>
  <c r="J11" i="12"/>
  <c r="AA11" i="12"/>
  <c r="AN11" i="12"/>
  <c r="Z11" i="12"/>
  <c r="E11" i="12"/>
  <c r="AT11" i="12"/>
  <c r="O11" i="12" l="1"/>
  <c r="P11" i="12"/>
  <c r="S11" i="12"/>
  <c r="U11" i="12"/>
  <c r="T11" i="12"/>
  <c r="Q11" i="12"/>
  <c r="AU11" i="12"/>
  <c r="AI11" i="12"/>
  <c r="M11" i="12"/>
  <c r="V11" i="12"/>
  <c r="F11" i="12"/>
  <c r="H11" i="12"/>
  <c r="G11" i="12"/>
  <c r="N11" i="12"/>
  <c r="R11" i="12"/>
  <c r="A12" i="12" a="1"/>
  <c r="A12" i="12" l="1"/>
  <c r="W11" i="12"/>
  <c r="L12" i="12" l="1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N12" i="12" l="1"/>
  <c r="P12" i="12"/>
  <c r="R12" i="12"/>
  <c r="S12" i="12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N13" i="12" l="1"/>
  <c r="P13" i="12"/>
  <c r="S13" i="12"/>
  <c r="T13" i="12"/>
  <c r="U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S14" i="12" l="1"/>
  <c r="V14" i="12"/>
  <c r="N14" i="12"/>
  <c r="R14" i="12"/>
  <c r="P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N15" i="12" l="1"/>
  <c r="V15" i="12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R16" i="12" l="1"/>
  <c r="T16" i="12"/>
  <c r="P16" i="12"/>
  <c r="V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S17" i="12" l="1"/>
  <c r="N17" i="12"/>
  <c r="V17" i="12"/>
  <c r="T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AN18" i="12"/>
  <c r="AK18" i="12"/>
  <c r="AS18" i="12"/>
  <c r="D18" i="12"/>
  <c r="AD18" i="12"/>
  <c r="AA18" i="12"/>
  <c r="J18" i="12"/>
  <c r="AB18" i="12"/>
  <c r="AM18" i="12"/>
  <c r="AT18" i="12"/>
  <c r="AH18" i="12"/>
  <c r="L18" i="12"/>
  <c r="A19" i="12" a="1"/>
  <c r="R18" i="12" l="1"/>
  <c r="T18" i="12"/>
  <c r="V18" i="12"/>
  <c r="N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R19" i="12" l="1"/>
  <c r="T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P20" i="12" l="1"/>
  <c r="R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T21" i="12"/>
  <c r="O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U23" i="12"/>
  <c r="S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U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R29" i="12" l="1"/>
  <c r="P29" i="12"/>
  <c r="Q29" i="12"/>
  <c r="O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S31" i="12" l="1"/>
  <c r="Q31" i="12"/>
  <c r="U31" i="12"/>
  <c r="O31" i="12"/>
  <c r="V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U32" i="12"/>
  <c r="N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R33" i="12" l="1"/>
  <c r="V33" i="12"/>
  <c r="P33" i="12"/>
  <c r="N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N35" i="12" l="1"/>
  <c r="O35" i="12"/>
  <c r="P35" i="12"/>
  <c r="V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V36" i="12"/>
  <c r="Q36" i="12"/>
  <c r="R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Q40" i="12"/>
  <c r="V40" i="12"/>
  <c r="N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N41" i="12" l="1"/>
  <c r="V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S43" i="12" l="1"/>
  <c r="T43" i="12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U45" i="12" s="1"/>
  <c r="A46" i="12" a="1"/>
  <c r="P45" i="12" l="1"/>
  <c r="V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T46" i="12" l="1"/>
  <c r="U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Q47" i="12" l="1"/>
  <c r="T47" i="12"/>
  <c r="N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U48" i="12" l="1"/>
  <c r="Q48" i="12"/>
  <c r="T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P52" i="12" l="1"/>
  <c r="T52" i="12"/>
  <c r="S52" i="12"/>
  <c r="N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Q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R57" i="12" l="1"/>
  <c r="O57" i="12"/>
  <c r="Q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V58" i="12" l="1"/>
  <c r="U58" i="12"/>
  <c r="P58" i="12"/>
  <c r="Q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R60" i="12" l="1"/>
  <c r="V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U61" i="12" l="1"/>
  <c r="P61" i="12"/>
  <c r="T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S63" i="12" l="1"/>
  <c r="Q63" i="12"/>
  <c r="U63" i="12"/>
  <c r="O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N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R74" i="12" l="1"/>
  <c r="P74" i="12"/>
  <c r="S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N75" i="12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N76" i="12" l="1"/>
  <c r="V76" i="12"/>
  <c r="T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R77" i="12" l="1"/>
  <c r="U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O80" i="12" l="1"/>
  <c r="P80" i="12"/>
  <c r="N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T82" i="12" l="1"/>
  <c r="O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P84" i="12" l="1"/>
  <c r="T84" i="12"/>
  <c r="Q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T86" i="12" l="1"/>
  <c r="P86" i="12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Q87" i="12" l="1"/>
  <c r="N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R89" i="12"/>
  <c r="T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P95" i="12" l="1"/>
  <c r="O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V97" i="12"/>
  <c r="U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O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O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R101" i="12" l="1"/>
  <c r="U101" i="12"/>
  <c r="T101" i="12"/>
  <c r="V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N102" i="12" l="1"/>
  <c r="R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N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U105" i="12"/>
  <c r="Q105" i="12"/>
  <c r="P105" i="12"/>
  <c r="N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S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O108" i="12"/>
  <c r="U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T109" i="12" l="1"/>
  <c r="Q109" i="12"/>
  <c r="N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O110" i="12" l="1"/>
  <c r="P110" i="12"/>
  <c r="N110" i="12"/>
  <c r="R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R115" i="12" l="1"/>
  <c r="S115" i="12"/>
  <c r="Q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N117" i="12"/>
  <c r="Q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S119" i="12" l="1"/>
  <c r="N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Q122" i="12" l="1"/>
  <c r="O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N126" i="12" l="1"/>
  <c r="T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R127" i="12" l="1"/>
  <c r="U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P128" i="12" l="1"/>
  <c r="O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S129" i="12" l="1"/>
  <c r="T129" i="12"/>
  <c r="P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P131" i="12" l="1"/>
  <c r="U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P133" i="12" l="1"/>
  <c r="V133" i="12"/>
  <c r="N133" i="12"/>
  <c r="R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V134" i="12" l="1"/>
  <c r="S134" i="12"/>
  <c r="P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S135" i="12" l="1"/>
  <c r="T135" i="12"/>
  <c r="P135" i="12"/>
  <c r="U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P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O145" i="12"/>
  <c r="P145" i="12"/>
  <c r="T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U146" i="12" l="1"/>
  <c r="R146" i="12"/>
  <c r="Q146" i="12"/>
  <c r="N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U151" i="12" l="1"/>
  <c r="R151" i="12"/>
  <c r="T151" i="12"/>
  <c r="O151" i="12"/>
  <c r="P151" i="12"/>
  <c r="AU151" i="12"/>
  <c r="N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U157" i="12"/>
  <c r="V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O159" i="12" l="1"/>
  <c r="U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R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V163" i="12" l="1"/>
  <c r="P163" i="12"/>
  <c r="N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O164" i="12" l="1"/>
  <c r="Q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U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R166" i="12" l="1"/>
  <c r="P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S167" i="12" l="1"/>
  <c r="R167" i="12"/>
  <c r="N167" i="12"/>
  <c r="O167" i="12"/>
  <c r="P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P168" i="12"/>
  <c r="O168" i="12"/>
  <c r="U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N170" i="12" l="1"/>
  <c r="Q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P172" i="12" s="1"/>
  <c r="A173" i="12" a="1"/>
  <c r="T172" i="12" l="1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R173" i="12"/>
  <c r="T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P174" i="12" l="1"/>
  <c r="Q174" i="12"/>
  <c r="S174" i="12"/>
  <c r="O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S175" i="12" l="1"/>
  <c r="U175" i="12"/>
  <c r="Q175" i="12"/>
  <c r="N175" i="12"/>
  <c r="T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Q177" i="12" l="1"/>
  <c r="N177" i="12"/>
  <c r="O177" i="12"/>
  <c r="V177" i="12"/>
  <c r="R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Q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P179" i="12"/>
  <c r="N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V183" i="12" s="1"/>
  <c r="B183" i="12"/>
  <c r="AC183" i="12"/>
  <c r="AK183" i="12"/>
  <c r="L183" i="12"/>
  <c r="AN183" i="12"/>
  <c r="AR183" i="12"/>
  <c r="K183" i="12"/>
  <c r="AA183" i="12"/>
  <c r="A184" i="12" a="1"/>
  <c r="Q183" i="12" l="1"/>
  <c r="AU183" i="12"/>
  <c r="O183" i="12"/>
  <c r="P183" i="12"/>
  <c r="T183" i="12"/>
  <c r="N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T184" i="12"/>
  <c r="R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N185" i="12" l="1"/>
  <c r="O185" i="12"/>
  <c r="V185" i="12"/>
  <c r="P185" i="12"/>
  <c r="R185" i="12"/>
  <c r="AU185" i="12"/>
  <c r="Q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R189" i="12" l="1"/>
  <c r="P189" i="12"/>
  <c r="S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N190" i="12" l="1"/>
  <c r="P190" i="12"/>
  <c r="S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R191" i="12" l="1"/>
  <c r="N191" i="12"/>
  <c r="Q191" i="12"/>
  <c r="P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P192" i="12"/>
  <c r="Q192" i="12"/>
  <c r="R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P195" i="12" l="1"/>
  <c r="S195" i="12"/>
  <c r="T195" i="12"/>
  <c r="U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U197" i="12" l="1"/>
  <c r="N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S198" i="12"/>
  <c r="U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N200" i="12"/>
  <c r="S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T201" i="12" l="1"/>
  <c r="N201" i="12"/>
  <c r="O201" i="12"/>
  <c r="S201" i="12"/>
  <c r="V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U203" i="12" l="1"/>
  <c r="R203" i="12"/>
  <c r="O203" i="12"/>
  <c r="P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P204" i="12" l="1"/>
  <c r="N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N205" i="12" l="1"/>
  <c r="R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R207" i="12" l="1"/>
  <c r="S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Q210" i="12"/>
  <c r="P210" i="12"/>
  <c r="T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P211" i="12" l="1"/>
  <c r="V211" i="12"/>
  <c r="Q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P213" i="12" l="1"/>
  <c r="R213" i="12"/>
  <c r="U213" i="12"/>
  <c r="V213" i="12"/>
  <c r="Q213" i="12"/>
  <c r="O213" i="12"/>
  <c r="N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O215" i="12" l="1"/>
  <c r="Q215" i="12"/>
  <c r="T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O216" i="12" l="1"/>
  <c r="N216" i="12"/>
  <c r="V216" i="12"/>
  <c r="R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U218" i="12" l="1"/>
  <c r="S218" i="12"/>
  <c r="V218" i="12"/>
  <c r="T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N220" i="12" l="1"/>
  <c r="O220" i="12"/>
  <c r="Q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S222" i="12" s="1"/>
  <c r="Y222" i="12"/>
  <c r="AO222" i="12"/>
  <c r="AG222" i="12"/>
  <c r="AL222" i="12"/>
  <c r="AN222" i="12"/>
  <c r="D222" i="12"/>
  <c r="E222" i="12"/>
  <c r="Z222" i="12"/>
  <c r="A223" i="12" a="1"/>
  <c r="N222" i="12" l="1"/>
  <c r="U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O223" i="12" l="1"/>
  <c r="U223" i="12"/>
  <c r="S223" i="12"/>
  <c r="T223" i="12"/>
  <c r="V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O224" i="12"/>
  <c r="P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P227" i="12" l="1"/>
  <c r="N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Q230" i="12" l="1"/>
  <c r="U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O231" i="12" l="1"/>
  <c r="V231" i="12"/>
  <c r="Q231" i="12"/>
  <c r="T231" i="12"/>
  <c r="R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Q232" i="12" l="1"/>
  <c r="N232" i="12"/>
  <c r="S232" i="12"/>
  <c r="P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N235" i="12" l="1"/>
  <c r="O235" i="12"/>
  <c r="V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S236" i="12" l="1"/>
  <c r="U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R237" i="12"/>
  <c r="P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Q238" i="12"/>
  <c r="U238" i="12"/>
  <c r="N238" i="12"/>
  <c r="V238" i="12"/>
  <c r="T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V240" i="12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Q241" i="12" l="1"/>
  <c r="O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R243" i="12"/>
  <c r="N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N245" i="12" l="1"/>
  <c r="V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N246" i="12" l="1"/>
  <c r="P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V247" i="12" l="1"/>
  <c r="P247" i="12"/>
  <c r="N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T249" i="12" l="1"/>
  <c r="Q249" i="12"/>
  <c r="R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U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O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U255" i="12" l="1"/>
  <c r="Q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O256" i="12" l="1"/>
  <c r="N256" i="12"/>
  <c r="S256" i="12"/>
  <c r="P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P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V258" i="12" l="1"/>
  <c r="N258" i="12"/>
  <c r="P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S259" i="12" l="1"/>
  <c r="Q259" i="12"/>
  <c r="R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P260" i="12" l="1"/>
  <c r="V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O261" i="12" l="1"/>
  <c r="N261" i="12"/>
  <c r="U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P262" i="12" l="1"/>
  <c r="O262" i="12"/>
  <c r="R262" i="12"/>
  <c r="S262" i="12"/>
  <c r="Q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P263" i="12" l="1"/>
  <c r="U263" i="12"/>
  <c r="N263" i="12"/>
  <c r="R263" i="12"/>
  <c r="V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S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S265" i="12" l="1"/>
  <c r="U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U266" i="12"/>
  <c r="R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N268" i="12"/>
  <c r="O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Q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U270" i="12" l="1"/>
  <c r="O270" i="12"/>
  <c r="R270" i="12"/>
  <c r="S270" i="12"/>
  <c r="N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U271" i="12"/>
  <c r="P271" i="12"/>
  <c r="T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V272" i="12" l="1"/>
  <c r="R272" i="12"/>
  <c r="U272" i="12"/>
  <c r="Q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V273" i="12" l="1"/>
  <c r="U273" i="12"/>
  <c r="O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V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S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N277" i="12" l="1"/>
  <c r="V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U278" i="12" l="1"/>
  <c r="R278" i="12"/>
  <c r="V278" i="12"/>
  <c r="O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N279" i="12" l="1"/>
  <c r="T279" i="12"/>
  <c r="S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R280" i="12" l="1"/>
  <c r="O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N283" i="12"/>
  <c r="P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N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Q286" i="12"/>
  <c r="AU286" i="12"/>
  <c r="S286" i="12"/>
  <c r="O286" i="12"/>
  <c r="V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R289" i="12"/>
  <c r="P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R290" i="12"/>
  <c r="N290" i="12"/>
  <c r="T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R292" i="12" l="1"/>
  <c r="N292" i="12"/>
  <c r="U292" i="12"/>
  <c r="Q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O293" i="12" l="1"/>
  <c r="T293" i="12"/>
  <c r="U293" i="12"/>
  <c r="Q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V296" i="12" s="1"/>
  <c r="AM296" i="12"/>
  <c r="I296" i="12"/>
  <c r="AD296" i="12"/>
  <c r="AB296" i="12"/>
  <c r="L296" i="12"/>
  <c r="AF296" i="12"/>
  <c r="Y296" i="12"/>
  <c r="A297" i="12" a="1"/>
  <c r="T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U297" i="12" l="1"/>
  <c r="T297" i="12"/>
  <c r="V297" i="12"/>
  <c r="R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T298" i="12"/>
  <c r="S298" i="12"/>
  <c r="U298" i="12"/>
  <c r="Q298" i="12"/>
  <c r="N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T299" i="12" l="1"/>
  <c r="N299" i="12"/>
  <c r="O299" i="12"/>
  <c r="V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O300" i="12" s="1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<sst xmlns="http://schemas.openxmlformats.org/spreadsheetml/2006/main" count="2344" uniqueCount="1412">
  <si>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</si>
  <si>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</si>
  <si>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</si>
  <si>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</si>
  <si>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</si>
  <si>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</si>
  <si>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</si>
  <si>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</si>
  <si>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</si>
  <si>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</si>
  <si>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</si>
  <si>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</si>
  <si>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</si>
  <si>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</si>
  <si>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</si>
  <si>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</si>
  <si>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</si>
  <si>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</si>
  <si>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</si>
  <si>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</si>
  <si>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</si>
  <si>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</si>
  <si>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</si>
  <si>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</si>
  <si>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</si>
  <si>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</si>
  <si>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</si>
  <si>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</si>
  <si>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</si>
  <si>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</si>
  <si>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</si>
  <si>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</si>
  <si>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</si>
  <si>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</si>
  <si>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</si>
  <si>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</si>
  <si>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</si>
  <si>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</si>
  <si>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</si>
  <si>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</si>
  <si>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</si>
  <si>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</si>
  <si>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</si>
  <si>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</si>
  <si>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</si>
  <si>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</si>
  <si>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</si>
  <si>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</si>
  <si>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</si>
  <si>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</si>
  <si>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</si>
  <si>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</si>
  <si>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</si>
  <si>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</si>
  <si>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</si>
  <si>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</si>
  <si>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</si>
  <si>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</si>
  <si>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</si>
  <si>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</si>
  <si>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</si>
  <si>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</si>
  <si>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</si>
  <si>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</si>
  <si>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</si>
  <si>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</si>
  <si>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</si>
  <si>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</si>
  <si>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</si>
  <si>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</si>
  <si>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</si>
  <si>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</si>
  <si>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</si>
  <si>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</si>
  <si>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</si>
  <si>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</si>
  <si>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</si>
  <si>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</si>
  <si>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</si>
  <si>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</si>
  <si>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</si>
  <si>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</si>
  <si>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</si>
  <si>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</si>
  <si>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</si>
  <si>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</si>
  <si>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</si>
  <si>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</si>
  <si>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</si>
  <si>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</si>
  <si>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</si>
  <si>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</si>
  <si>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</si>
  <si>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</si>
  <si>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</si>
  <si>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</si>
  <si>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</si>
  <si>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</si>
  <si>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</si>
  <si>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</si>
  <si>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</si>
  <si>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</si>
  <si>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</si>
  <si>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</si>
  <si>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</si>
  <si>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</si>
  <si>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</si>
  <si>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</si>
  <si>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</si>
  <si>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</si>
  <si>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</si>
  <si>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</si>
  <si>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</si>
  <si>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</si>
  <si>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</si>
  <si>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</si>
  <si>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</si>
  <si>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</si>
  <si>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</si>
  <si>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</si>
  <si>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</si>
  <si>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</si>
  <si>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</si>
  <si>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</si>
  <si>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</si>
  <si>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</si>
  <si>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</si>
  <si>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</si>
  <si>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</si>
  <si>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</si>
  <si>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</si>
  <si>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</si>
  <si>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</si>
  <si>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</si>
  <si>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</si>
  <si>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</si>
  <si>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</si>
  <si>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</si>
  <si>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</si>
  <si>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</si>
  <si>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</si>
  <si>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</si>
  <si>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</si>
  <si>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</si>
  <si>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</si>
  <si>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</si>
  <si>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</si>
  <si>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</si>
  <si>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</si>
  <si>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</si>
  <si>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</si>
  <si>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</si>
  <si>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</si>
  <si>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</si>
  <si>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</si>
  <si>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</si>
  <si>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</si>
  <si>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</si>
  <si>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</si>
  <si>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</si>
  <si>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</si>
  <si>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</si>
  <si>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</si>
  <si>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</si>
  <si>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</si>
  <si>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</si>
  <si>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</si>
  <si>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</si>
  <si>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</si>
  <si>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</si>
  <si>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</si>
  <si>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</si>
  <si>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</si>
  <si>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</si>
  <si>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</si>
  <si>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</si>
  <si>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</si>
  <si>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</si>
  <si>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</si>
  <si>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</si>
  <si>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</si>
  <si>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</si>
  <si>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</si>
  <si>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</si>
  <si>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</si>
  <si>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</si>
  <si>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</si>
  <si>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</si>
  <si>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</si>
  <si>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</si>
  <si>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</si>
  <si>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</si>
  <si>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</si>
  <si>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</si>
  <si>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</si>
  <si>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</si>
  <si>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</si>
  <si>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</si>
  <si>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</si>
  <si>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</si>
  <si>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</si>
  <si>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</si>
  <si>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</si>
  <si>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</si>
  <si>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</si>
  <si>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</si>
  <si>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</si>
  <si>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</si>
  <si>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</si>
  <si>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</si>
  <si>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</si>
  <si>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</si>
  <si>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</si>
  <si>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</si>
  <si>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</si>
  <si>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</si>
  <si>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</si>
  <si>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</si>
  <si>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</si>
  <si>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</si>
  <si>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</si>
  <si>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</si>
  <si>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</si>
  <si>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</si>
  <si>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</si>
  <si>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</si>
  <si>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</si>
  <si>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</si>
  <si>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</si>
  <si>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</si>
  <si>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</si>
  <si>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</si>
  <si>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</si>
  <si>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</si>
  <si>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</si>
  <si>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</si>
  <si>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</si>
  <si>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</si>
  <si>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</si>
  <si>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</si>
  <si>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</si>
  <si>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</si>
  <si>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</si>
  <si>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</si>
  <si>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</si>
  <si>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</si>
  <si>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</si>
  <si>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</si>
  <si>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</si>
  <si>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</si>
  <si>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</si>
  <si>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</si>
  <si>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</si>
  <si>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</si>
  <si>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</si>
  <si>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</si>
  <si>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</si>
  <si>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</si>
  <si>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</si>
  <si>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</si>
  <si>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</si>
  <si>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</si>
  <si>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</si>
  <si>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</si>
  <si>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</si>
  <si>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</si>
  <si>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</si>
  <si>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</si>
  <si>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</si>
  <si>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</si>
  <si>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</si>
  <si>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</si>
  <si>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</si>
  <si>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</si>
  <si>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</si>
  <si>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</si>
  <si>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</si>
  <si>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</si>
  <si>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</si>
  <si>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</si>
  <si>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</si>
  <si>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</si>
  <si>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</si>
  <si>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</si>
  <si>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</si>
  <si>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</si>
  <si>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</si>
  <si>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</si>
  <si>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</si>
  <si>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</si>
  <si>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</si>
  <si>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</si>
  <si>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</si>
  <si>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</si>
  <si>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</si>
  <si>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</si>
  <si>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</si>
  <si>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</si>
  <si>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</si>
  <si>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</si>
  <si>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</si>
  <si>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</si>
  <si>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</si>
  <si>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</si>
  <si>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</si>
  <si>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</si>
  <si>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</si>
  <si>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</si>
  <si>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</si>
  <si>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</si>
  <si>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</si>
  <si>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</si>
  <si>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</si>
  <si>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</si>
  <si>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</si>
  <si>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</si>
  <si>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</si>
  <si>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</si>
  <si>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</si>
  <si>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</si>
  <si>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</si>
  <si>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</si>
  <si>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</si>
  <si>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</si>
  <si>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</si>
  <si>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</si>
  <si>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</si>
  <si>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</si>
  <si>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</si>
  <si>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</si>
  <si>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</si>
  <si>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</si>
  <si>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</si>
  <si>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</si>
  <si>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</si>
  <si>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</si>
  <si>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</si>
  <si>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</si>
  <si>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</si>
  <si>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</si>
  <si>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</si>
  <si>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</si>
  <si>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</si>
  <si>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</si>
  <si>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</si>
  <si>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</si>
  <si>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</si>
  <si>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</si>
  <si>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</si>
  <si>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</si>
  <si>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</si>
  <si>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</si>
  <si>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</si>
  <si>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</si>
  <si>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</si>
  <si>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</si>
  <si>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</si>
  <si>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</si>
  <si>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</si>
  <si>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</si>
  <si>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</si>
  <si>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</si>
  <si>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</si>
  <si>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</si>
  <si>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</si>
  <si>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</si>
  <si>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</si>
  <si>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</si>
  <si>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</si>
  <si>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</si>
  <si>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</si>
  <si>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</si>
  <si>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</si>
  <si>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</si>
  <si>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</si>
  <si>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</si>
  <si>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</si>
  <si>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</si>
  <si>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</si>
  <si>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</si>
  <si>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</si>
  <si>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</si>
  <si>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</si>
  <si>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</si>
  <si>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</si>
  <si>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</si>
  <si>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</si>
  <si>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</si>
  <si>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</si>
  <si>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</si>
  <si>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</si>
  <si>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</si>
  <si>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</si>
  <si>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</si>
  <si>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</si>
  <si>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</si>
  <si>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</si>
  <si>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</si>
  <si>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</si>
  <si>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</si>
  <si>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</si>
  <si>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</si>
  <si>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</si>
  <si>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</si>
  <si>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</si>
  <si>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</si>
  <si>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</si>
  <si>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</si>
  <si>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</si>
  <si>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</si>
  <si>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</si>
  <si>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</si>
  <si>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</si>
  <si>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</si>
  <si>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</si>
  <si>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</si>
  <si>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</si>
  <si>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</si>
  <si>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</si>
  <si>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</si>
  <si>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</si>
  <si>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</si>
  <si>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</si>
  <si>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</si>
  <si>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</si>
  <si>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</si>
  <si>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</si>
  <si>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</si>
  <si>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</si>
  <si>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</si>
  <si>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</si>
  <si>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</si>
  <si>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</si>
  <si>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</si>
  <si>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</si>
  <si>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</si>
  <si>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</si>
  <si>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</si>
  <si>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</si>
  <si>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</si>
  <si>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</si>
  <si>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</si>
  <si>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</si>
  <si>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</si>
  <si>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</si>
  <si>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</si>
  <si>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</si>
  <si>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</si>
  <si>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</si>
  <si>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</si>
  <si>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</si>
  <si>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</si>
  <si>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</si>
  <si>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</si>
  <si>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</si>
  <si>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</si>
  <si>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</si>
  <si>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</si>
  <si>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</si>
  <si>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</si>
  <si>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</si>
  <si>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</si>
  <si>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</si>
  <si>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</si>
  <si>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</si>
  <si>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</si>
  <si>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</si>
  <si>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</si>
  <si>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</si>
  <si>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</si>
  <si>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</si>
  <si>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</si>
  <si>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</si>
  <si>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</si>
  <si>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</si>
  <si>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</si>
  <si>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</si>
  <si>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</si>
  <si>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</si>
  <si>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</si>
  <si>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</si>
  <si>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</si>
  <si>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</si>
  <si>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</si>
  <si>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</si>
  <si>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</si>
  <si>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</si>
  <si>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</si>
  <si>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</si>
  <si>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</si>
  <si>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</si>
  <si>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</si>
  <si>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</si>
  <si>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</si>
  <si>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</si>
  <si>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</si>
  <si>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</si>
  <si>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</si>
  <si>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</si>
  <si>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</si>
  <si>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</si>
  <si>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</si>
  <si>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</si>
  <si>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</si>
  <si>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</si>
  <si>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</si>
  <si>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</si>
  <si>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</si>
  <si>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</si>
  <si>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</si>
  <si>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</si>
  <si>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</si>
  <si>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</si>
  <si>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</si>
  <si>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</si>
  <si>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</si>
  <si>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</si>
  <si>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</si>
  <si>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</si>
  <si>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</si>
  <si>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</si>
  <si>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</si>
  <si>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</si>
  <si>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</si>
  <si>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</si>
  <si>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</si>
  <si>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</si>
  <si>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</si>
  <si>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</si>
  <si>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</si>
  <si>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</si>
  <si>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</si>
  <si>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</si>
  <si>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</si>
  <si>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</si>
  <si>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</si>
  <si>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</si>
  <si>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</si>
  <si>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</si>
  <si>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</si>
  <si>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</si>
  <si>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</si>
  <si>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</si>
  <si>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</si>
  <si>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</si>
  <si>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</si>
  <si>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</si>
  <si>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</si>
  <si>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</si>
  <si>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</si>
  <si>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</si>
  <si>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</si>
  <si>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</si>
  <si>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</si>
  <si>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</si>
  <si>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</si>
  <si>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</si>
  <si>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</si>
  <si>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</si>
  <si>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</si>
  <si>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</si>
  <si>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</si>
  <si>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</si>
  <si>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</si>
  <si>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</si>
  <si>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</si>
  <si>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</si>
  <si>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</si>
  <si>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</si>
  <si>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</si>
  <si>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</si>
  <si>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</si>
  <si>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</si>
  <si>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</si>
  <si>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</si>
  <si>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</si>
  <si>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</si>
  <si>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</si>
  <si>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</si>
  <si>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</si>
  <si>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</si>
  <si>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</si>
  <si>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</si>
  <si>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</si>
  <si>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</si>
  <si>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</si>
  <si>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</si>
  <si>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</si>
  <si>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</si>
  <si>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</si>
  <si>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</si>
  <si>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</si>
  <si>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</si>
  <si>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</si>
  <si>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</si>
  <si>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</si>
  <si>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</si>
  <si>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</si>
  <si>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</si>
  <si>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</si>
  <si>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</si>
  <si>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</si>
  <si>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</si>
  <si>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</si>
  <si>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</si>
  <si>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</si>
  <si>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</si>
  <si>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</si>
  <si>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</si>
  <si>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</si>
  <si>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</si>
  <si>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</si>
  <si>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</si>
  <si>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</si>
  <si>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</si>
  <si>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</si>
  <si>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</si>
  <si>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</si>
  <si>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</si>
  <si>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</si>
  <si>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</si>
  <si>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</si>
  <si>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</si>
  <si>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</si>
  <si>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</si>
  <si>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</si>
  <si>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</si>
  <si>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</si>
  <si>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</si>
  <si>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</si>
  <si>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</si>
  <si>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</si>
  <si>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</si>
  <si>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</si>
  <si>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</si>
  <si>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</si>
  <si>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</si>
  <si>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</si>
  <si>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</si>
  <si>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</si>
  <si>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</si>
  <si>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</si>
  <si>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</si>
  <si>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</si>
  <si>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</si>
  <si>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</si>
  <si>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</si>
  <si>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</si>
  <si>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</si>
  <si>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</si>
  <si>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</si>
  <si>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</si>
  <si>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</si>
  <si>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</si>
  <si>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</si>
  <si>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</si>
  <si>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</si>
  <si>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</si>
  <si>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</si>
  <si>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</si>
  <si>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</si>
  <si>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</si>
  <si>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</si>
  <si>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</si>
  <si>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</si>
  <si>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</si>
  <si>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</si>
  <si>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</si>
  <si>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</si>
  <si>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</si>
  <si>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</si>
  <si>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</si>
  <si>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</si>
  <si>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</si>
  <si>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</si>
  <si>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</si>
  <si>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</si>
  <si>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</si>
  <si>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</si>
  <si>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</si>
  <si>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</si>
  <si>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</si>
  <si>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</si>
  <si>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</si>
  <si>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</si>
  <si>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</si>
  <si>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</si>
  <si>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</si>
  <si>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</si>
  <si>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</si>
  <si>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</si>
  <si>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</si>
  <si>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</si>
  <si>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</si>
  <si>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</si>
  <si>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</si>
  <si>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</si>
  <si>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</si>
  <si>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</si>
  <si>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</si>
  <si>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</si>
  <si>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</si>
  <si>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</si>
  <si>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</si>
  <si>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</si>
  <si>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</si>
  <si>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</si>
  <si>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</si>
  <si>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</si>
  <si>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</si>
  <si>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</si>
  <si>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</si>
  <si>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</si>
  <si>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</si>
  <si>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</si>
  <si>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</si>
  <si>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</si>
  <si>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</si>
  <si>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</si>
  <si>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</si>
  <si>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</si>
  <si>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</si>
  <si>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</si>
  <si>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</si>
  <si>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</si>
  <si>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</si>
  <si>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</si>
  <si>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</si>
  <si>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</si>
  <si>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</si>
  <si>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</si>
  <si>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</si>
  <si>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</si>
  <si>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</si>
  <si>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</si>
  <si>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</si>
  <si>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</si>
  <si>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</si>
  <si>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</si>
  <si>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</si>
  <si>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</si>
  <si>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</si>
  <si>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</si>
  <si>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</si>
  <si>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</si>
  <si>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</si>
  <si>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</si>
  <si>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</si>
  <si>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</si>
  <si>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</si>
  <si>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</si>
  <si>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</si>
  <si>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</si>
  <si>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</si>
  <si>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</si>
  <si>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</si>
  <si>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</si>
  <si>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</si>
  <si>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</si>
  <si>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</si>
  <si>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</si>
  <si>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</si>
  <si>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</si>
  <si>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</si>
  <si>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</si>
  <si>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</si>
  <si>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</si>
  <si>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</si>
  <si>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</si>
  <si>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</si>
  <si>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</si>
  <si>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</si>
  <si>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</si>
  <si>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</si>
  <si>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</si>
  <si>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</si>
  <si>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</si>
  <si>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</si>
  <si>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</si>
  <si>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</si>
  <si>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</si>
  <si>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</si>
  <si>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</si>
  <si>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</si>
  <si>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</si>
  <si>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</si>
  <si>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</si>
  <si>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</si>
  <si>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</si>
  <si>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</si>
  <si>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</si>
  <si>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</si>
  <si>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</si>
  <si>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</si>
  <si>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</si>
  <si>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</si>
  <si>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</si>
  <si>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</si>
  <si>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</si>
  <si>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</si>
  <si>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</si>
  <si>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</si>
  <si>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</si>
  <si>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</si>
  <si>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</si>
  <si>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</si>
  <si>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</si>
  <si>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</si>
  <si>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</si>
  <si>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</si>
  <si>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</si>
  <si>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</si>
  <si>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</si>
  <si>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</si>
  <si>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</si>
  <si>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</si>
  <si>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</si>
  <si>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</si>
  <si>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</si>
  <si>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</si>
  <si>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</si>
  <si>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</si>
  <si>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</si>
  <si>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</si>
  <si>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</si>
  <si>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</si>
  <si>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</si>
  <si>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</si>
  <si>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</si>
  <si>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</si>
  <si>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</si>
  <si>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</si>
  <si>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</si>
  <si>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</si>
  <si>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</si>
  <si>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</si>
  <si>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</si>
  <si>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</si>
  <si>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</si>
  <si>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</si>
  <si>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</si>
  <si>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</si>
  <si>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</si>
  <si>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</si>
  <si>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</si>
  <si>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</si>
  <si>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</si>
  <si>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</si>
  <si>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</si>
  <si>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</si>
  <si>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</si>
  <si>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</si>
  <si>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</si>
  <si>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</si>
  <si>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</si>
  <si>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</si>
  <si>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</si>
  <si>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</si>
  <si>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</si>
  <si>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</si>
  <si>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</si>
  <si>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</si>
  <si>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</si>
  <si>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</si>
  <si>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</si>
  <si>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</si>
  <si>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</si>
  <si>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</si>
  <si>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</si>
  <si>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</si>
  <si>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</si>
  <si>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</si>
  <si>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</si>
  <si>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</si>
  <si>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</si>
  <si>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</si>
  <si>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</si>
  <si>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</si>
  <si>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</si>
  <si>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</si>
  <si>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</si>
  <si>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</si>
  <si>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</si>
  <si>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</si>
  <si>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</si>
  <si>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</si>
  <si>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</si>
  <si>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</si>
  <si>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</si>
  <si>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</si>
  <si>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</si>
  <si>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</si>
  <si>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</si>
  <si>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</si>
  <si>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</si>
  <si>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</si>
  <si>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</si>
  <si>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</si>
  <si>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</si>
  <si>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</si>
  <si>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</si>
  <si>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</si>
  <si>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</si>
  <si>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</si>
  <si>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</si>
  <si>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</si>
  <si>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</si>
  <si>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</si>
  <si>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</si>
  <si>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</si>
  <si>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</si>
  <si>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</si>
  <si>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</si>
  <si>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</si>
  <si>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</si>
  <si>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</si>
  <si>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</si>
  <si>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</si>
  <si>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</si>
  <si>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</si>
  <si>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</si>
  <si>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</si>
  <si>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</si>
  <si>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</si>
  <si>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</si>
  <si>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</si>
  <si>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</si>
  <si>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</si>
  <si>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</si>
  <si>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</si>
  <si>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</si>
  <si>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</si>
  <si>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</si>
  <si>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</si>
  <si>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</si>
  <si>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</si>
  <si>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</si>
  <si>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</si>
  <si>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</si>
  <si>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</si>
  <si>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</si>
  <si>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</si>
  <si>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</si>
  <si>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</si>
  <si>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</si>
  <si>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</si>
  <si>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</si>
  <si>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</si>
  <si>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</si>
  <si>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</si>
  <si>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</si>
  <si>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</si>
  <si>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</si>
  <si>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</si>
  <si>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</si>
  <si>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</si>
  <si>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</si>
  <si>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</si>
  <si>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</si>
  <si>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</si>
  <si>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</si>
  <si>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</si>
  <si>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</si>
  <si>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</si>
  <si>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</si>
  <si>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</si>
  <si>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</si>
  <si>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</si>
  <si>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</si>
  <si>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</si>
  <si>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</si>
  <si>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</si>
  <si>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</si>
  <si>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</si>
  <si>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</si>
  <si>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</si>
  <si>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</si>
  <si>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</si>
  <si>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</si>
  <si>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</si>
  <si>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</si>
  <si>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</si>
  <si>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</si>
  <si>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</si>
  <si>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</si>
  <si>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</si>
  <si>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</si>
  <si>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</si>
  <si>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</si>
  <si>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</si>
  <si>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</si>
  <si>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</si>
  <si>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</si>
  <si>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</si>
  <si>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</si>
  <si>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</si>
  <si>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</si>
  <si>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</si>
  <si>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</si>
  <si>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</si>
  <si>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</si>
  <si>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</si>
  <si>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</si>
  <si>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</si>
  <si>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</si>
  <si>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</si>
  <si>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</si>
  <si>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</si>
  <si>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</si>
  <si>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</si>
  <si>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</si>
  <si>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</si>
  <si>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</si>
  <si>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</si>
  <si>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</si>
  <si>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</si>
  <si>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</si>
  <si>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</si>
  <si>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</si>
  <si>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</si>
  <si>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</si>
  <si>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</si>
  <si>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</si>
  <si>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</si>
  <si>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</si>
  <si>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</si>
  <si>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</si>
  <si>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</si>
  <si>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</si>
  <si>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</si>
  <si>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</si>
  <si>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</si>
  <si>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</si>
  <si>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</si>
  <si>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</si>
  <si>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</si>
  <si>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</si>
  <si>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</si>
  <si>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</si>
  <si>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</si>
  <si>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</si>
  <si>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</si>
  <si>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</si>
  <si>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</si>
  <si>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</si>
  <si>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</si>
  <si>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</si>
  <si>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</si>
  <si>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</si>
  <si>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</si>
  <si>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</si>
  <si>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</si>
  <si>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</si>
  <si>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</si>
  <si>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</si>
  <si>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</si>
  <si>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</si>
  <si>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</si>
  <si>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</si>
  <si>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</si>
  <si>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</si>
  <si>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</si>
  <si>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</si>
  <si>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</si>
  <si>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</si>
  <si>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</si>
  <si>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</si>
  <si>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</si>
  <si>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</si>
  <si>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</si>
  <si>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</si>
  <si>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</si>
  <si>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</si>
  <si>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</si>
  <si>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</si>
  <si>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</si>
  <si>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</si>
  <si>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</si>
  <si>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</si>
  <si>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</si>
  <si>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</si>
  <si>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</si>
  <si>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</si>
  <si>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</si>
  <si>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</si>
  <si>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</si>
  <si>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</si>
  <si>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</si>
  <si>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</si>
  <si>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</si>
  <si>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</si>
  <si>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</si>
  <si>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</si>
  <si>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</si>
  <si>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</si>
  <si>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</si>
  <si>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</si>
  <si>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</si>
  <si>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</si>
  <si>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</si>
  <si>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</si>
  <si>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</si>
  <si>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</si>
  <si>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</si>
  <si>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</si>
  <si>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</si>
  <si>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</si>
  <si>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</si>
  <si>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</si>
  <si>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</si>
  <si>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</si>
  <si>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</si>
  <si>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</si>
  <si>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</si>
  <si>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</si>
  <si>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</si>
  <si>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</si>
  <si>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</si>
  <si>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</si>
  <si>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</si>
  <si>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</si>
  <si>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</si>
  <si>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</si>
  <si>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</si>
  <si>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</si>
  <si>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</si>
  <si>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</si>
  <si>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</si>
  <si>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</si>
  <si>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</si>
  <si>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</si>
  <si>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</si>
  <si>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</si>
  <si>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</si>
  <si>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</si>
  <si>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</si>
  <si>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</si>
  <si>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</si>
  <si>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</si>
  <si>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</si>
  <si>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</si>
  <si>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</si>
  <si>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</si>
  <si>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</si>
  <si>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</si>
  <si>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</si>
  <si>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</si>
  <si>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</si>
  <si>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</si>
  <si>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</si>
  <si>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</si>
  <si>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</si>
  <si>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</si>
  <si>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</si>
  <si>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</si>
  <si>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</si>
  <si>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</si>
  <si>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</si>
  <si>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</si>
  <si>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</si>
  <si>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</si>
  <si>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</si>
  <si>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</si>
  <si>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</si>
  <si>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</si>
  <si>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</si>
  <si>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</si>
  <si>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</si>
  <si>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</si>
  <si>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</si>
  <si>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</si>
  <si>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</si>
  <si>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</si>
  <si>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</si>
  <si>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</si>
  <si>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</si>
  <si>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</si>
  <si>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</si>
  <si>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</si>
  <si>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</si>
  <si>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</si>
  <si>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</si>
  <si>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</si>
  <si>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</si>
  <si>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</si>
  <si>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</si>
  <si>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</si>
  <si>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</si>
  <si>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</si>
  <si>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</si>
  <si>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</si>
  <si>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</si>
  <si>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</si>
  <si>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</si>
  <si>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</si>
  <si>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</si>
  <si>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</si>
  <si>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</si>
  <si>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</si>
  <si>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</si>
  <si>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</si>
  <si>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</si>
  <si>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</si>
  <si>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</si>
  <si>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</si>
  <si>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</si>
  <si>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</si>
  <si>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</si>
  <si>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</si>
  <si>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</si>
  <si>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</si>
  <si>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</si>
  <si>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</si>
  <si>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</si>
  <si>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</si>
  <si>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</si>
  <si>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</si>
  <si>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</si>
  <si>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</si>
  <si>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</si>
  <si>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</si>
  <si>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</si>
  <si>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</si>
  <si>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</si>
  <si>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</si>
  <si>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</si>
  <si>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</si>
  <si>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</si>
  <si>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</si>
  <si>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</si>
  <si>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</si>
  <si>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</si>
  <si>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</si>
  <si>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</si>
  <si>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</si>
  <si>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</si>
  <si>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</si>
  <si>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</si>
  <si>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</si>
  <si>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</si>
  <si>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</si>
  <si>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</si>
  <si>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</si>
  <si>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</si>
  <si>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</si>
  <si>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</si>
  <si>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</si>
  <si>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</si>
  <si>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</si>
  <si>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</si>
  <si>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</si>
  <si>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</si>
  <si>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</si>
  <si>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</si>
  <si>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</si>
  <si>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</si>
  <si>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</si>
  <si>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</si>
  <si>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</si>
  <si>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</si>
  <si>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</si>
  <si>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</si>
  <si>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</si>
  <si>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</si>
  <si>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</si>
  <si>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</si>
  <si>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</si>
  <si>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</si>
  <si>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</si>
  <si>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</si>
  <si>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</si>
  <si>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</si>
  <si>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</si>
  <si>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</si>
  <si>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</si>
  <si>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</si>
  <si>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</si>
  <si>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</si>
  <si>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</si>
  <si>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</si>
  <si>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</si>
  <si>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</si>
  <si>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</si>
  <si>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</si>
  <si>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</si>
  <si>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</si>
  <si>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</si>
  <si>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</si>
  <si>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</si>
  <si>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</si>
  <si>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</si>
  <si>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</si>
  <si>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</si>
  <si>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</si>
  <si>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</si>
  <si>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</si>
  <si>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</si>
  <si>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</si>
  <si>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</si>
  <si>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</si>
  <si>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</si>
  <si>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</si>
  <si>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</si>
  <si>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</si>
  <si>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</si>
  <si>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</si>
  <si>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</si>
  <si>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</si>
  <si>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</si>
  <si>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</si>
  <si>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</si>
  <si>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</si>
  <si>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</si>
  <si>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</si>
  <si>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</si>
  <si>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</si>
  <si>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</si>
  <si>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</si>
  <si>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</si>
  <si>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</si>
  <si>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</si>
  <si>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</si>
  <si>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</si>
  <si>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</si>
  <si>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</si>
  <si>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</si>
  <si>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</si>
  <si>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</si>
  <si>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</si>
  <si>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</si>
  <si>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</si>
  <si>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</si>
  <si>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</si>
  <si>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</si>
  <si>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</si>
  <si>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</si>
  <si>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</si>
  <si>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</si>
  <si>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</si>
  <si>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</si>
  <si>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</si>
  <si>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</si>
  <si>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</si>
  <si>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</si>
  <si>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</si>
  <si>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</si>
  <si>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</si>
  <si>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</si>
  <si>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</si>
  <si>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</si>
  <si>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</si>
  <si>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</si>
  <si>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</si>
  <si>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</si>
  <si>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</si>
  <si>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</si>
  <si>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</si>
  <si>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</si>
  <si>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</si>
  <si>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</si>
  <si>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</si>
  <si>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</si>
  <si>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</si>
  <si>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</si>
  <si>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</si>
  <si>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</si>
  <si>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</si>
  <si>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</si>
  <si>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</si>
  <si>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</si>
  <si>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</si>
  <si>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</si>
  <si>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</si>
  <si>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</si>
  <si>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</si>
  <si>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</si>
  <si>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</si>
  <si>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</si>
  <si>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</si>
  <si>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</si>
  <si>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</si>
  <si>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</si>
  <si>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</si>
  <si>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</si>
  <si>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</si>
  <si>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</si>
  <si>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</si>
  <si>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</si>
  <si>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</si>
  <si>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</si>
  <si>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</si>
  <si>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</si>
  <si>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</si>
  <si>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</si>
  <si>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</si>
  <si>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</si>
  <si>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</si>
  <si>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</si>
  <si>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</si>
  <si>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</si>
  <si>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</si>
  <si>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</si>
  <si>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</si>
  <si>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</si>
  <si>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</si>
  <si>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</si>
  <si>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</si>
  <si>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</si>
  <si>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</si>
  <si>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</si>
  <si>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Sabrina Chen</t>
  </si>
  <si>
    <t>周四没休息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</si>
</sst>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rgb="FF0C0C0C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left" wrapText="1"/>
      <protection locked="0"/>
    </xf>
    <xf numFmtId="0" fontId="39" fillId="0" borderId="0" xfId="0" applyFont="1" applyAlignment="1" applyProtection="1">
      <alignment horizontal="left" wrapText="1"/>
      <protection locked="0"/>
    </xf>
    <xf numFmtId="0" fontId="39" fillId="0" borderId="0" xfId="0" applyFont="1" applyAlignment="1" applyProtection="1">
      <alignment horizontal="left"/>
      <protection locked="0"/>
    </xf>
    <xf numFmtId="0" fontId="39" fillId="0" borderId="0" xfId="0" applyFont="1" applyProtection="1">
      <protection locked="0"/>
    </xf>
    <xf numFmtId="0" fontId="30" fillId="0" borderId="0" xfId="0" applyFont="1" applyAlignment="1" applyProtection="1">
      <alignment horizontal="left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50" zoomScaleNormal="5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D6" sqref="AD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10049</v>
      </c>
      <c r="B2" s="81" t="s">
        <v>41</v>
      </c>
      <c r="C2" s="97" t="s">
        <v>1410</v>
      </c>
      <c r="D2" s="84"/>
      <c r="E2" s="85"/>
      <c r="F2" s="92">
        <f>BA2-BB2</f>
        <v>0</v>
      </c>
      <c r="G2" s="85"/>
      <c r="H2" s="85"/>
      <c r="I2" s="92">
        <f>BF2-BG2</f>
        <v>0</v>
      </c>
      <c r="J2" s="85"/>
      <c r="K2" s="85"/>
      <c r="L2" s="92">
        <f>BK2-BL2</f>
        <v>0</v>
      </c>
      <c r="M2" s="85"/>
      <c r="N2" s="84"/>
      <c r="O2" s="92">
        <f>BP2-BQ2</f>
        <v>0</v>
      </c>
      <c r="P2" s="84"/>
      <c r="Q2" s="85"/>
      <c r="R2" s="92">
        <f>BU2-BV2</f>
        <v>0</v>
      </c>
      <c r="S2" s="85"/>
      <c r="T2" s="85"/>
      <c r="U2" s="92">
        <f>BZ2-CA2</f>
        <v>0</v>
      </c>
      <c r="V2" s="85"/>
      <c r="W2" s="85"/>
      <c r="X2" s="92">
        <f>CE2-CF2</f>
        <v>0</v>
      </c>
      <c r="Y2" s="92"/>
      <c r="Z2" s="92"/>
      <c r="AA2" s="92"/>
      <c r="AB2" s="92">
        <f>SUM(F2,I2,L2,O2,R2,U2,X2)</f>
        <v>0</v>
      </c>
      <c r="AC2" s="93"/>
      <c r="AD2" s="78">
        <v>1</v>
      </c>
      <c r="AE2" s="94">
        <f t="shared" ref="AE2:AE40" si="1">SUMIF($BC$1:$CI$1,AE$1,$BC2:$CI2)+AD2</f>
        <v>1</v>
      </c>
      <c r="AF2" s="77"/>
      <c r="AG2" s="94">
        <f t="shared" ref="AG2:AG40" si="2">SUMIF($BC$1:$CI$1,AG$1,$BC2:$CI2)+AF2</f>
        <v>0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0</v>
      </c>
      <c r="AQ2" s="77">
        <v>10</v>
      </c>
      <c r="AR2" s="77"/>
      <c r="AS2" s="77"/>
      <c r="AT2" s="44">
        <f>AE2+AG2+AI2+AK2+AM2+AO2+SUM(AQ2:AS2)</f>
        <v>11</v>
      </c>
      <c r="AU2" s="78"/>
      <c r="AV2" s="5"/>
      <c r="AW2" s="5"/>
      <c r="AX2" s="5"/>
      <c r="AY2" s="5"/>
      <c r="AZ2" s="24">
        <f>VLOOKUP(C2,Employees!D:I,6,FALSE)</f>
        <v>10049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0</v>
      </c>
    </row>
    <row r="3" spans="1:89" ht="38" customHeight="1">
      <c r="A3" s="74">
        <f t="shared" si="0"/>
        <v>10256</v>
      </c>
      <c r="B3" s="81" t="s">
        <v>41</v>
      </c>
      <c r="C3" s="98" t="s">
        <v>730</v>
      </c>
      <c r="D3" s="84"/>
      <c r="E3" s="85"/>
      <c r="F3" s="92">
        <f t="shared" ref="F3:F69" si="15">BA3-BB3</f>
        <v>0</v>
      </c>
      <c r="G3" s="85">
        <v>0.41666666666666669</v>
      </c>
      <c r="H3" s="85">
        <v>0.92152777777777772</v>
      </c>
      <c r="I3" s="92">
        <f t="shared" ref="I3:I69" si="16">BF3-BG3</f>
        <v>11.116666666666664</v>
      </c>
      <c r="J3" s="85"/>
      <c r="K3" s="85"/>
      <c r="L3" s="92">
        <f t="shared" ref="L3:L69" si="17">BK3-BL3</f>
        <v>0</v>
      </c>
      <c r="M3" s="85">
        <v>0.58333333333333337</v>
      </c>
      <c r="N3" s="84">
        <v>0.92222222222222228</v>
      </c>
      <c r="O3" s="92">
        <f t="shared" ref="O3:O69" si="18">BP3-BQ3</f>
        <v>7.6333333333333329</v>
      </c>
      <c r="P3" s="84"/>
      <c r="Q3" s="85"/>
      <c r="R3" s="92">
        <f t="shared" ref="R3:R69" si="19">BU3-BV3</f>
        <v>0</v>
      </c>
      <c r="S3" s="85">
        <v>0.63472222222222219</v>
      </c>
      <c r="T3" s="85">
        <v>0.92708333333333337</v>
      </c>
      <c r="U3" s="92">
        <f t="shared" ref="U3:U69" si="20">BZ3-CA3</f>
        <v>6.5166666666666684</v>
      </c>
      <c r="V3" s="85">
        <v>0.41666666666666669</v>
      </c>
      <c r="W3" s="85">
        <v>0.60416666666666663</v>
      </c>
      <c r="X3" s="92">
        <f t="shared" ref="X3:X69" si="21">CE3-CF3</f>
        <v>4.4999999999999982</v>
      </c>
      <c r="Y3" s="92"/>
      <c r="Z3" s="92"/>
      <c r="AA3" s="92"/>
      <c r="AB3" s="92">
        <f t="shared" ref="AB3:AB69" si="22">SUM(F3,I3,L3,O3,R3,U3,X3)</f>
        <v>29.766666666666666</v>
      </c>
      <c r="AC3" s="93"/>
      <c r="AD3" s="78"/>
      <c r="AE3" s="94">
        <f t="shared" si="1"/>
        <v>18.499999999999993</v>
      </c>
      <c r="AF3" s="77"/>
      <c r="AG3" s="94">
        <f t="shared" si="2"/>
        <v>6.5166666666666684</v>
      </c>
      <c r="AH3" s="78"/>
      <c r="AI3" s="94">
        <f t="shared" si="3"/>
        <v>4.4999999999999982</v>
      </c>
      <c r="AJ3" s="77"/>
      <c r="AK3" s="94">
        <f t="shared" si="4"/>
        <v>0</v>
      </c>
      <c r="AL3" s="77"/>
      <c r="AM3" s="94">
        <f t="shared" si="5"/>
        <v>0.25000000000000178</v>
      </c>
      <c r="AN3" s="77"/>
      <c r="AO3" s="94">
        <f t="shared" si="6"/>
        <v>0</v>
      </c>
      <c r="AP3" s="95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29.766666666666659</v>
      </c>
      <c r="AU3" s="78"/>
      <c r="AV3" s="5"/>
      <c r="AW3" s="5"/>
      <c r="AX3" s="5"/>
      <c r="AY3" s="5"/>
      <c r="AZ3" s="24">
        <f>VLOOKUP(C3,Employees!D:I,6,FALSE)</f>
        <v>10256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12.116666666666664</v>
      </c>
      <c r="BG3" s="5">
        <f t="shared" ref="BG3:BG66" si="30">IF(BF3&gt;$AY$1,1,IF(BF3&gt;=$AX$1,0.5,0))</f>
        <v>1</v>
      </c>
      <c r="BH3" s="5">
        <f t="shared" ref="BH3:BH66" si="31">BF3-BG3-BI3-BJ3</f>
        <v>10.999999999999996</v>
      </c>
      <c r="BI3" s="5">
        <f t="shared" ref="BI3:BI66" si="32">IF(AND(H3&gt;$AV$1,G3&lt;$AW$1),(MIN(H3,$AW$1)-MAX(G3,$AV$1))*24,0)</f>
        <v>0.11666666666666625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8.1333333333333329</v>
      </c>
      <c r="BQ3" s="5">
        <f t="shared" ref="BQ3:BQ66" si="40">IF(BP3&gt;$AY$1,1,IF(BP3&gt;=$AX$1,0.5,0))</f>
        <v>0.5</v>
      </c>
      <c r="BR3" s="5">
        <f t="shared" ref="BR3:BR66" si="41">BP3-BQ3-BS3-BT3</f>
        <v>7.4999999999999973</v>
      </c>
      <c r="BS3" s="5">
        <f t="shared" ref="BS3:BS66" si="42">IF(AND(N3&gt;$AV$1, M3&lt;$AW$1),(MIN(N3,$AW$1)-MAX(M3,$AV$1))*24,0)</f>
        <v>0.13333333333333552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7.0166666666666684</v>
      </c>
      <c r="CA3" s="5">
        <f t="shared" ref="CA3:CA66" si="49">IF(BZ3&gt;$AY$1,1,IF(BZ3&gt;=$AX$1,0.5,0))</f>
        <v>0.5</v>
      </c>
      <c r="CB3" s="5">
        <f t="shared" ref="CB3:CB66" si="50">BZ3-CA3-CC3-CD3</f>
        <v>6.2666666666666666</v>
      </c>
      <c r="CC3" s="5">
        <f t="shared" ref="CC3:CC66" si="51">IF(AND(T3&gt;$AV$1, S3&lt;$AW$1),(MIN(T3,$AW$1)-MAX(S3,$AV$1))*24,0)</f>
        <v>0.25000000000000178</v>
      </c>
      <c r="CD3" s="5">
        <f t="shared" ref="CD3:CD66" si="52">IF(T3&gt;$AW$1,(T3-MAX(S3,$AW$1))*24,0)</f>
        <v>0</v>
      </c>
      <c r="CE3" s="5">
        <f t="shared" ref="CE3:CE66" si="53">IF(ISBLANK(V3),0,(W3-V3)*24)</f>
        <v>4.4999999999999982</v>
      </c>
      <c r="CF3" s="5">
        <f t="shared" ref="CF3:CF66" si="54">IF(CE3&gt;$AY$1,1,IF(CE3&gt;=$AX$1,0.5,0))</f>
        <v>0</v>
      </c>
      <c r="CG3" s="5">
        <f t="shared" ref="CG3:CG66" si="55">CE3-CF3-CH3-CI3</f>
        <v>4.4999999999999982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10269</v>
      </c>
      <c r="B4" s="81" t="s">
        <v>41</v>
      </c>
      <c r="C4" s="98" t="s">
        <v>761</v>
      </c>
      <c r="D4" s="85">
        <v>0.41666666666666669</v>
      </c>
      <c r="E4" s="85">
        <v>0.625</v>
      </c>
      <c r="F4" s="92">
        <f t="shared" si="15"/>
        <v>5</v>
      </c>
      <c r="G4" s="85"/>
      <c r="H4" s="85"/>
      <c r="I4" s="92">
        <f t="shared" si="16"/>
        <v>0</v>
      </c>
      <c r="J4" s="85"/>
      <c r="K4" s="85"/>
      <c r="L4" s="92">
        <f t="shared" si="17"/>
        <v>0</v>
      </c>
      <c r="M4" s="85">
        <v>0.42222222222222222</v>
      </c>
      <c r="N4" s="85">
        <v>0.66666666666666663</v>
      </c>
      <c r="O4" s="92">
        <f t="shared" si="18"/>
        <v>5.3666666666666654</v>
      </c>
      <c r="P4" s="85"/>
      <c r="Q4" s="85"/>
      <c r="R4" s="92">
        <f t="shared" si="19"/>
        <v>0</v>
      </c>
      <c r="S4" s="85">
        <v>0.43402777777777779</v>
      </c>
      <c r="T4" s="85">
        <v>0.63680555555555551</v>
      </c>
      <c r="U4" s="92">
        <f t="shared" si="20"/>
        <v>4.8666666666666654</v>
      </c>
      <c r="V4" s="85"/>
      <c r="W4" s="85"/>
      <c r="X4" s="92">
        <f t="shared" si="21"/>
        <v>0</v>
      </c>
      <c r="Y4" s="92"/>
      <c r="Z4" s="92"/>
      <c r="AA4" s="92"/>
      <c r="AB4" s="92">
        <f t="shared" si="22"/>
        <v>15.233333333333331</v>
      </c>
      <c r="AC4" s="93"/>
      <c r="AD4" s="78">
        <v>0.5</v>
      </c>
      <c r="AE4" s="94">
        <f t="shared" si="1"/>
        <v>10.866666666666665</v>
      </c>
      <c r="AF4" s="77"/>
      <c r="AG4" s="94">
        <f t="shared" si="2"/>
        <v>4.8666666666666654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3</v>
      </c>
      <c r="AQ4" s="77"/>
      <c r="AR4" s="77"/>
      <c r="AS4" s="77"/>
      <c r="AT4" s="44">
        <f t="shared" si="24"/>
        <v>15.733333333333331</v>
      </c>
      <c r="AU4" s="78" t="s">
        <v>1411</v>
      </c>
      <c r="AV4" s="5"/>
      <c r="AW4" s="5"/>
      <c r="AX4" s="5"/>
      <c r="AY4" s="5"/>
      <c r="AZ4" s="24">
        <f>VLOOKUP(C4,Employees!D:I,6,FALSE)</f>
        <v>10269</v>
      </c>
      <c r="BA4" s="5">
        <f t="shared" si="25"/>
        <v>5</v>
      </c>
      <c r="BB4" s="5">
        <f t="shared" si="26"/>
        <v>0</v>
      </c>
      <c r="BC4" s="5">
        <f t="shared" si="27"/>
        <v>5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5.8666666666666654</v>
      </c>
      <c r="BQ4" s="5">
        <f t="shared" si="40"/>
        <v>0.5</v>
      </c>
      <c r="BR4" s="5">
        <f t="shared" si="41"/>
        <v>5.3666666666666654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4.8666666666666654</v>
      </c>
      <c r="CA4" s="5">
        <f t="shared" si="49"/>
        <v>0</v>
      </c>
      <c r="CB4" s="5">
        <f t="shared" si="50"/>
        <v>4.8666666666666654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10210</v>
      </c>
      <c r="B5" s="81" t="s">
        <v>41</v>
      </c>
      <c r="C5" s="97" t="s">
        <v>618</v>
      </c>
      <c r="D5" s="85"/>
      <c r="E5" s="85"/>
      <c r="F5" s="92">
        <f t="shared" si="15"/>
        <v>0</v>
      </c>
      <c r="G5" s="85"/>
      <c r="H5" s="85"/>
      <c r="I5" s="92">
        <f t="shared" si="16"/>
        <v>0</v>
      </c>
      <c r="J5" s="85"/>
      <c r="K5" s="85"/>
      <c r="L5" s="92">
        <f t="shared" si="17"/>
        <v>0</v>
      </c>
      <c r="M5" s="85"/>
      <c r="N5" s="85"/>
      <c r="O5" s="92">
        <f t="shared" si="18"/>
        <v>0</v>
      </c>
      <c r="P5" s="85"/>
      <c r="Q5" s="85"/>
      <c r="R5" s="92">
        <f t="shared" si="19"/>
        <v>0</v>
      </c>
      <c r="S5" s="85"/>
      <c r="T5" s="85"/>
      <c r="U5" s="92">
        <f t="shared" si="20"/>
        <v>0</v>
      </c>
      <c r="V5" s="85"/>
      <c r="W5" s="85"/>
      <c r="X5" s="92">
        <f t="shared" si="21"/>
        <v>0</v>
      </c>
      <c r="Y5" s="92"/>
      <c r="Z5" s="92"/>
      <c r="AA5" s="92"/>
      <c r="AB5" s="92">
        <f t="shared" si="22"/>
        <v>0</v>
      </c>
      <c r="AC5" s="93"/>
      <c r="AD5" s="78"/>
      <c r="AE5" s="94">
        <f t="shared" si="1"/>
        <v>0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>
        <f>VLOOKUP(C5,Employees!D:I,6,FALSE)</f>
        <v>10210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>
        <f t="shared" si="0"/>
        <v>10319</v>
      </c>
      <c r="B6" s="81" t="s">
        <v>41</v>
      </c>
      <c r="C6" s="98" t="s">
        <v>889</v>
      </c>
      <c r="D6" s="85">
        <v>0.58333333333333337</v>
      </c>
      <c r="E6" s="85">
        <v>0.92500000000000004</v>
      </c>
      <c r="F6" s="92">
        <f t="shared" si="15"/>
        <v>7.6999999999999993</v>
      </c>
      <c r="G6" s="85"/>
      <c r="H6" s="85"/>
      <c r="I6" s="92">
        <f t="shared" si="16"/>
        <v>0</v>
      </c>
      <c r="J6" s="85">
        <v>0.58333333333333337</v>
      </c>
      <c r="K6" s="85">
        <v>0.92083333333333328</v>
      </c>
      <c r="L6" s="92">
        <f t="shared" si="17"/>
        <v>7.5999999999999979</v>
      </c>
      <c r="M6" s="85"/>
      <c r="N6" s="85"/>
      <c r="O6" s="92">
        <f t="shared" si="18"/>
        <v>0</v>
      </c>
      <c r="P6" s="85">
        <v>0.41666666666666669</v>
      </c>
      <c r="Q6" s="85">
        <v>0.57013888888888886</v>
      </c>
      <c r="R6" s="92">
        <f t="shared" si="19"/>
        <v>3.6833333333333322</v>
      </c>
      <c r="S6" s="85"/>
      <c r="T6" s="85"/>
      <c r="U6" s="92">
        <f t="shared" si="20"/>
        <v>0</v>
      </c>
      <c r="V6" s="85">
        <v>0.60416666666666663</v>
      </c>
      <c r="W6" s="85">
        <v>0.92708333333333337</v>
      </c>
      <c r="X6" s="92">
        <f t="shared" si="21"/>
        <v>7.2500000000000018</v>
      </c>
      <c r="Y6" s="92"/>
      <c r="Z6" s="92"/>
      <c r="AA6" s="92"/>
      <c r="AB6" s="92">
        <f t="shared" si="22"/>
        <v>26.233333333333334</v>
      </c>
      <c r="AC6" s="93"/>
      <c r="AD6" s="78">
        <v>3.3</v>
      </c>
      <c r="AE6" s="94">
        <f t="shared" si="1"/>
        <v>21.983333333333331</v>
      </c>
      <c r="AF6" s="77"/>
      <c r="AG6" s="94">
        <f t="shared" si="2"/>
        <v>0</v>
      </c>
      <c r="AH6" s="78"/>
      <c r="AI6" s="94">
        <f t="shared" si="3"/>
        <v>7.2500000000000018</v>
      </c>
      <c r="AJ6" s="77"/>
      <c r="AK6" s="94">
        <f t="shared" si="4"/>
        <v>0</v>
      </c>
      <c r="AL6" s="77"/>
      <c r="AM6" s="94">
        <f t="shared" si="5"/>
        <v>0.3000000000000016</v>
      </c>
      <c r="AN6" s="77"/>
      <c r="AO6" s="94">
        <f t="shared" si="6"/>
        <v>0</v>
      </c>
      <c r="AP6" s="95">
        <f t="shared" si="23"/>
        <v>4</v>
      </c>
      <c r="AQ6" s="77"/>
      <c r="AR6" s="77"/>
      <c r="AS6" s="77"/>
      <c r="AT6" s="44">
        <f t="shared" si="24"/>
        <v>29.533333333333335</v>
      </c>
      <c r="AU6" s="78"/>
      <c r="AV6" s="5"/>
      <c r="AW6" s="5"/>
      <c r="AX6" s="5"/>
      <c r="AY6" s="5"/>
      <c r="AZ6" s="24">
        <f>VLOOKUP(C6,Employees!D:I,6,FALSE)</f>
        <v>10319</v>
      </c>
      <c r="BA6" s="5">
        <f t="shared" si="25"/>
        <v>8.1999999999999993</v>
      </c>
      <c r="BB6" s="5">
        <f t="shared" si="26"/>
        <v>0.5</v>
      </c>
      <c r="BC6" s="5">
        <f t="shared" si="27"/>
        <v>7.4999999999999973</v>
      </c>
      <c r="BD6" s="5">
        <f t="shared" si="58"/>
        <v>0.20000000000000195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8.0999999999999979</v>
      </c>
      <c r="BL6" s="5">
        <f t="shared" si="35"/>
        <v>0.5</v>
      </c>
      <c r="BM6" s="5">
        <f t="shared" si="36"/>
        <v>7.4999999999999982</v>
      </c>
      <c r="BN6" s="5">
        <f t="shared" si="37"/>
        <v>9.9999999999999645E-2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3.6833333333333322</v>
      </c>
      <c r="BV6" s="5">
        <f t="shared" si="45"/>
        <v>0</v>
      </c>
      <c r="BW6" s="5">
        <f t="shared" si="46"/>
        <v>3.6833333333333322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7.7500000000000018</v>
      </c>
      <c r="CF6" s="5">
        <f t="shared" si="54"/>
        <v>0.5</v>
      </c>
      <c r="CG6" s="5">
        <f t="shared" si="55"/>
        <v>7</v>
      </c>
      <c r="CH6" s="5">
        <f t="shared" si="56"/>
        <v>0.25000000000000178</v>
      </c>
      <c r="CI6" s="5">
        <f t="shared" si="57"/>
        <v>0</v>
      </c>
      <c r="CJ6" s="5"/>
      <c r="CK6" s="4">
        <f t="shared" si="14"/>
        <v>4</v>
      </c>
    </row>
    <row r="7" spans="1:89" ht="38" customHeight="1">
      <c r="A7" s="74">
        <f t="shared" si="0"/>
        <v>10367</v>
      </c>
      <c r="B7" s="81" t="s">
        <v>41</v>
      </c>
      <c r="C7" s="99" t="s">
        <v>1135</v>
      </c>
      <c r="D7" s="84"/>
      <c r="E7" s="85"/>
      <c r="F7" s="92">
        <f t="shared" si="15"/>
        <v>0</v>
      </c>
      <c r="G7" s="85">
        <v>0.57499999999999996</v>
      </c>
      <c r="H7" s="85">
        <v>0.92013888888888884</v>
      </c>
      <c r="I7" s="92">
        <f t="shared" si="16"/>
        <v>7.7833333333333332</v>
      </c>
      <c r="J7" s="85">
        <v>0.43125000000000002</v>
      </c>
      <c r="K7" s="85">
        <v>0.5854166666666667</v>
      </c>
      <c r="L7" s="92">
        <f t="shared" si="17"/>
        <v>3.7</v>
      </c>
      <c r="M7" s="84">
        <v>0.62847222222222221</v>
      </c>
      <c r="N7" s="85">
        <v>0.92013888888888884</v>
      </c>
      <c r="O7" s="92">
        <f t="shared" si="18"/>
        <v>6.4999999999999991</v>
      </c>
      <c r="P7" s="84">
        <v>0.625</v>
      </c>
      <c r="Q7" s="85">
        <v>0.9243055555555556</v>
      </c>
      <c r="R7" s="92">
        <f t="shared" si="19"/>
        <v>6.6833333333333345</v>
      </c>
      <c r="S7" s="84"/>
      <c r="T7" s="85"/>
      <c r="U7" s="92">
        <f t="shared" si="20"/>
        <v>0</v>
      </c>
      <c r="V7" s="85"/>
      <c r="W7" s="85"/>
      <c r="X7" s="92">
        <f t="shared" si="21"/>
        <v>0</v>
      </c>
      <c r="Y7" s="92"/>
      <c r="Z7" s="92"/>
      <c r="AA7" s="92"/>
      <c r="AB7" s="92">
        <f t="shared" si="22"/>
        <v>24.666666666666668</v>
      </c>
      <c r="AC7" s="93"/>
      <c r="AD7" s="78"/>
      <c r="AE7" s="94">
        <f t="shared" si="1"/>
        <v>24.316666666666666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0.35000000000000142</v>
      </c>
      <c r="AN7" s="77"/>
      <c r="AO7" s="94">
        <f t="shared" si="6"/>
        <v>0</v>
      </c>
      <c r="AP7" s="95">
        <f t="shared" si="23"/>
        <v>4</v>
      </c>
      <c r="AQ7" s="77"/>
      <c r="AR7" s="77"/>
      <c r="AS7" s="77"/>
      <c r="AT7" s="44">
        <f t="shared" si="24"/>
        <v>24.666666666666668</v>
      </c>
      <c r="AU7" s="78"/>
      <c r="AV7" s="5"/>
      <c r="AW7" s="5"/>
      <c r="AX7" s="5"/>
      <c r="AY7" s="5"/>
      <c r="AZ7" s="24">
        <f>VLOOKUP(C7,Employees!D:I,6,FALSE)</f>
        <v>10367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8.2833333333333332</v>
      </c>
      <c r="BG7" s="5">
        <f t="shared" si="30"/>
        <v>0.5</v>
      </c>
      <c r="BH7" s="5">
        <f t="shared" si="31"/>
        <v>7.7</v>
      </c>
      <c r="BI7" s="5">
        <f t="shared" si="32"/>
        <v>8.3333333333333037E-2</v>
      </c>
      <c r="BJ7" s="5">
        <f t="shared" si="33"/>
        <v>0</v>
      </c>
      <c r="BK7" s="5">
        <f t="shared" si="34"/>
        <v>3.7</v>
      </c>
      <c r="BL7" s="5">
        <f t="shared" si="35"/>
        <v>0</v>
      </c>
      <c r="BM7" s="5">
        <f t="shared" si="36"/>
        <v>3.7</v>
      </c>
      <c r="BN7" s="5">
        <f t="shared" si="37"/>
        <v>0</v>
      </c>
      <c r="BO7" s="5">
        <f t="shared" si="38"/>
        <v>0</v>
      </c>
      <c r="BP7" s="5">
        <f t="shared" si="39"/>
        <v>6.9999999999999991</v>
      </c>
      <c r="BQ7" s="5">
        <f t="shared" si="40"/>
        <v>0.5</v>
      </c>
      <c r="BR7" s="5">
        <f t="shared" si="41"/>
        <v>6.4166666666666661</v>
      </c>
      <c r="BS7" s="5">
        <f t="shared" si="42"/>
        <v>8.3333333333333037E-2</v>
      </c>
      <c r="BT7" s="5">
        <f t="shared" si="43"/>
        <v>0</v>
      </c>
      <c r="BU7" s="5">
        <f t="shared" si="44"/>
        <v>7.1833333333333345</v>
      </c>
      <c r="BV7" s="5">
        <f t="shared" si="45"/>
        <v>0.5</v>
      </c>
      <c r="BW7" s="5">
        <f t="shared" si="46"/>
        <v>6.4999999999999991</v>
      </c>
      <c r="BX7" s="5">
        <f t="shared" si="47"/>
        <v>0.18333333333333535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4</v>
      </c>
    </row>
    <row r="8" spans="1:89" ht="38" customHeight="1">
      <c r="A8" s="74">
        <f t="shared" si="0"/>
        <v>210489</v>
      </c>
      <c r="B8" s="81" t="s">
        <v>41</v>
      </c>
      <c r="C8" s="98" t="s">
        <v>1338</v>
      </c>
      <c r="D8" s="84">
        <v>0.625</v>
      </c>
      <c r="E8" s="85">
        <v>0.92708333333333337</v>
      </c>
      <c r="F8" s="92">
        <f t="shared" si="15"/>
        <v>6.7500000000000009</v>
      </c>
      <c r="G8" s="85"/>
      <c r="H8" s="85"/>
      <c r="I8" s="92">
        <f t="shared" si="16"/>
        <v>0</v>
      </c>
      <c r="J8" s="84">
        <v>0.625</v>
      </c>
      <c r="K8" s="85">
        <v>0.92708333333333337</v>
      </c>
      <c r="L8" s="92">
        <f t="shared" si="17"/>
        <v>6.7500000000000009</v>
      </c>
      <c r="M8" s="85"/>
      <c r="N8" s="85"/>
      <c r="O8" s="92">
        <f t="shared" si="18"/>
        <v>0</v>
      </c>
      <c r="P8" s="84">
        <v>0.57152777777777775</v>
      </c>
      <c r="Q8" s="85">
        <v>0.92708333333333337</v>
      </c>
      <c r="R8" s="92">
        <f t="shared" si="19"/>
        <v>8.033333333333335</v>
      </c>
      <c r="S8" s="84"/>
      <c r="T8" s="85"/>
      <c r="U8" s="92">
        <f t="shared" si="20"/>
        <v>0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21.533333333333339</v>
      </c>
      <c r="AC8" s="93"/>
      <c r="AD8" s="78"/>
      <c r="AE8" s="94">
        <f t="shared" si="1"/>
        <v>20.783333333333331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0.75000000000000533</v>
      </c>
      <c r="AN8" s="77"/>
      <c r="AO8" s="94">
        <f t="shared" si="6"/>
        <v>0</v>
      </c>
      <c r="AP8" s="95">
        <f t="shared" si="23"/>
        <v>3</v>
      </c>
      <c r="AQ8" s="77"/>
      <c r="AR8" s="77"/>
      <c r="AS8" s="77"/>
      <c r="AT8" s="44">
        <f t="shared" si="24"/>
        <v>21.533333333333339</v>
      </c>
      <c r="AU8" s="78"/>
      <c r="AV8" s="5"/>
      <c r="AW8" s="5"/>
      <c r="AX8" s="5"/>
      <c r="AY8" s="5"/>
      <c r="AZ8" s="24">
        <f>VLOOKUP(C8,Employees!D:I,6,FALSE)</f>
        <v>210489</v>
      </c>
      <c r="BA8" s="5">
        <f t="shared" si="25"/>
        <v>7.2500000000000009</v>
      </c>
      <c r="BB8" s="5">
        <f t="shared" si="26"/>
        <v>0.5</v>
      </c>
      <c r="BC8" s="5">
        <f t="shared" si="27"/>
        <v>6.4999999999999991</v>
      </c>
      <c r="BD8" s="5">
        <f t="shared" si="58"/>
        <v>0.25000000000000178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7.2500000000000009</v>
      </c>
      <c r="BL8" s="5">
        <f t="shared" si="35"/>
        <v>0.5</v>
      </c>
      <c r="BM8" s="5">
        <f t="shared" si="36"/>
        <v>6.4999999999999991</v>
      </c>
      <c r="BN8" s="5">
        <f t="shared" si="37"/>
        <v>0.25000000000000178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8.533333333333335</v>
      </c>
      <c r="BV8" s="5">
        <f t="shared" si="45"/>
        <v>0.5</v>
      </c>
      <c r="BW8" s="5">
        <f t="shared" si="46"/>
        <v>7.7833333333333332</v>
      </c>
      <c r="BX8" s="5">
        <f t="shared" si="47"/>
        <v>0.25000000000000178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3</v>
      </c>
    </row>
    <row r="9" spans="1:89" ht="38" customHeight="1">
      <c r="A9" s="74" t="str">
        <f t="shared" si="0"/>
        <v/>
      </c>
      <c r="B9" s="81"/>
      <c r="C9" s="98"/>
      <c r="D9" s="85"/>
      <c r="E9" s="85"/>
      <c r="F9" s="92">
        <f t="shared" si="15"/>
        <v>0</v>
      </c>
      <c r="G9" s="85"/>
      <c r="H9" s="85"/>
      <c r="I9" s="92">
        <f t="shared" si="16"/>
        <v>0</v>
      </c>
      <c r="J9" s="85"/>
      <c r="K9" s="85"/>
      <c r="L9" s="92">
        <f t="shared" si="17"/>
        <v>0</v>
      </c>
      <c r="M9" s="84"/>
      <c r="N9" s="85"/>
      <c r="O9" s="92">
        <f t="shared" si="18"/>
        <v>0</v>
      </c>
      <c r="P9" s="85"/>
      <c r="Q9" s="85"/>
      <c r="R9" s="92">
        <f t="shared" si="19"/>
        <v>0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4"/>
      <c r="T10" s="85"/>
      <c r="U10" s="92">
        <f t="shared" si="20"/>
        <v>0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2">
        <f t="shared" si="15"/>
        <v>0</v>
      </c>
      <c r="G11" s="85"/>
      <c r="H11" s="85"/>
      <c r="I11" s="92">
        <f t="shared" si="16"/>
        <v>0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5" sqref="J15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10049</v>
      </c>
      <c r="B2" s="81" t="s">
        <v>41</v>
      </c>
      <c r="C2" s="97" t="s">
        <v>1410</v>
      </c>
      <c r="D2" s="75"/>
      <c r="E2" s="75"/>
      <c r="F2" s="92">
        <f>BA2-BB2</f>
        <v>0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/>
      <c r="N2" s="76"/>
      <c r="O2" s="92">
        <f>BP2-BQ2</f>
        <v>0</v>
      </c>
      <c r="P2" s="75"/>
      <c r="Q2" s="76"/>
      <c r="R2" s="92">
        <f>BU2-BV2</f>
        <v>0</v>
      </c>
      <c r="S2" s="75"/>
      <c r="T2" s="75"/>
      <c r="U2" s="92">
        <f>BZ2-CA2</f>
        <v>0</v>
      </c>
      <c r="V2" s="75"/>
      <c r="W2" s="76"/>
      <c r="X2" s="92">
        <f>CE2-CF2</f>
        <v>0</v>
      </c>
      <c r="Y2" s="92"/>
      <c r="Z2" s="92"/>
      <c r="AA2" s="92"/>
      <c r="AB2" s="96">
        <f>SUM(F2,I2,L2,O2,R2,U2,X2)</f>
        <v>0</v>
      </c>
      <c r="AC2" s="93"/>
      <c r="AD2" s="78">
        <v>1</v>
      </c>
      <c r="AE2" s="94">
        <f>SUMIF($BC$1:$CI$1,AE$1,$BC2:$CI2)+AD2</f>
        <v>1</v>
      </c>
      <c r="AF2" s="78"/>
      <c r="AG2" s="94">
        <f>SUMIF($BC$1:$CI$1,AG$1,$BC2:$CI2)+AF2</f>
        <v>0</v>
      </c>
      <c r="AH2" s="78"/>
      <c r="AI2" s="94">
        <f>SUMIF($BC$1:$CI$1,AI$1,$BC2:$CI2)+AH2</f>
        <v>0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0</v>
      </c>
      <c r="AQ2" s="77"/>
      <c r="AR2" s="77"/>
      <c r="AS2" s="77"/>
      <c r="AT2" s="63">
        <f>AE2+AG2+AI2+AK2+AM2+AO2+SUM(AQ2:AS2)</f>
        <v>1</v>
      </c>
      <c r="AU2" s="78"/>
      <c r="AV2" s="5"/>
      <c r="AW2" s="5"/>
      <c r="AX2" s="5"/>
      <c r="AY2" s="5"/>
      <c r="AZ2" s="24">
        <f>VLOOKUP(C2,Employees!D:I,6,FALSE)</f>
        <v>10049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>
        <f t="shared" si="0"/>
        <v>10256</v>
      </c>
      <c r="B3" s="81" t="s">
        <v>41</v>
      </c>
      <c r="C3" s="98" t="s">
        <v>730</v>
      </c>
      <c r="D3" s="75"/>
      <c r="E3" s="75"/>
      <c r="F3" s="92">
        <f t="shared" ref="F3:F74" si="9">BA3-BB3</f>
        <v>0</v>
      </c>
      <c r="G3" s="75">
        <v>0.41666666666666669</v>
      </c>
      <c r="H3" s="75">
        <v>0.92083333333333328</v>
      </c>
      <c r="I3" s="92">
        <f t="shared" ref="I3:I74" si="10">BF3-BG3</f>
        <v>11.1</v>
      </c>
      <c r="J3" s="75"/>
      <c r="K3" s="75"/>
      <c r="L3" s="92">
        <f t="shared" ref="L3:L74" si="11">BK3-BL3</f>
        <v>0</v>
      </c>
      <c r="M3" s="75">
        <v>0.41666666666666669</v>
      </c>
      <c r="N3" s="75">
        <v>0.92152777777777772</v>
      </c>
      <c r="O3" s="92">
        <f t="shared" ref="O3:O74" si="12">BP3-BQ3</f>
        <v>11.116666666666664</v>
      </c>
      <c r="P3" s="85"/>
      <c r="Q3" s="85"/>
      <c r="R3" s="92">
        <f t="shared" ref="R3:R74" si="13">BU3-BV3</f>
        <v>0</v>
      </c>
      <c r="S3" s="85">
        <v>0.4201388888888889</v>
      </c>
      <c r="T3" s="85">
        <v>0.92638888888888893</v>
      </c>
      <c r="U3" s="92">
        <f t="shared" ref="U3:U74" si="14">BZ3-CA3</f>
        <v>11.150000000000002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33.36666666666666</v>
      </c>
      <c r="AC3" s="93"/>
      <c r="AD3" s="78"/>
      <c r="AE3" s="94">
        <f t="shared" ref="AE3:AE74" si="17">SUMIF($BC$1:$CI$1,AE$1,$BC3:$CI3)+AD3</f>
        <v>21.999999999999996</v>
      </c>
      <c r="AF3" s="78"/>
      <c r="AG3" s="94">
        <f t="shared" ref="AG3:AG74" si="18">SUMIF($BC$1:$CI$1,AG$1,$BC3:$CI3)+AF3</f>
        <v>11.150000000000002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0.2166666666666659</v>
      </c>
      <c r="AN3" s="77"/>
      <c r="AO3" s="94">
        <f t="shared" ref="AO3:AO74" si="22">SUMIF($BC$1:$CI$1,AO$1,$BC3:$CI3)+AN3</f>
        <v>0</v>
      </c>
      <c r="AP3" s="95">
        <f t="shared" ref="AP3:AP74" si="23">CK3</f>
        <v>3</v>
      </c>
      <c r="AQ3" s="77"/>
      <c r="AR3" s="77">
        <v>5</v>
      </c>
      <c r="AS3" s="77"/>
      <c r="AT3" s="63">
        <f t="shared" ref="AT3:AT74" si="24">AE3+AG3+AI3+AK3+AM3+AO3+SUM(AQ3:AS3)</f>
        <v>38.366666666666667</v>
      </c>
      <c r="AU3" s="78"/>
      <c r="AV3" s="5"/>
      <c r="AW3" s="5"/>
      <c r="AX3" s="5"/>
      <c r="AY3" s="5"/>
      <c r="AZ3" s="24">
        <f>VLOOKUP(C3,Employees!D:I,6,FALSE)</f>
        <v>10256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12.1</v>
      </c>
      <c r="BG3" s="5">
        <f t="shared" ref="BG3:BG66" si="31">IF(BF3&gt;$AY$1,1,IF(BF3&gt;=$AX$1,0.5,0))</f>
        <v>1</v>
      </c>
      <c r="BH3" s="5">
        <f t="shared" ref="BH3:BH66" si="32">BF3-BG3-BI3-BJ3</f>
        <v>11</v>
      </c>
      <c r="BI3" s="5">
        <f t="shared" ref="BI3:BI66" si="33">IF(AND(H3&gt;$AV$1,G3&lt;$AW$1),(MIN(H3,$AW$1)-MAX(G3,$AV$1))*24,0)</f>
        <v>9.9999999999999645E-2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12.116666666666664</v>
      </c>
      <c r="BQ3" s="5">
        <f t="shared" ref="BQ3:BQ66" si="41">IF(BP3&gt;$AY$1,1,IF(BP3&gt;=$AX$1,0.5,0))</f>
        <v>1</v>
      </c>
      <c r="BR3" s="5">
        <f t="shared" ref="BR3:BR66" si="42">BP3-BQ3-BS3-BT3</f>
        <v>10.999999999999996</v>
      </c>
      <c r="BS3" s="5">
        <f t="shared" ref="BS3:BS66" si="43">IF(AND(N3&gt;$AV$1, M3&lt;$AW$1),(MIN(N3,$AW$1)-MAX(M3,$AV$1))*24,0)</f>
        <v>0.11666666666666625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12.150000000000002</v>
      </c>
      <c r="CA3" s="5">
        <f t="shared" ref="CA3:CA66" si="51">IF(BZ3&gt;$AY$1,1,IF(BZ3&gt;=$AX$1,0.5,0))</f>
        <v>1</v>
      </c>
      <c r="CB3" s="5">
        <f t="shared" ref="CB3:CB66" si="52">BZ3-CA3-CC3-CD3</f>
        <v>10.916666666666668</v>
      </c>
      <c r="CC3" s="5">
        <f t="shared" ref="CC3:CC66" si="53">IF(AND(T3&gt;$AV$1, S3&lt;$AW$1),(MIN(T3,$AW$1)-MAX(S3,$AV$1))*24,0)</f>
        <v>0.23333333333333517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4">
        <f t="shared" si="0"/>
        <v>10269</v>
      </c>
      <c r="B4" s="81" t="s">
        <v>41</v>
      </c>
      <c r="C4" s="98" t="s">
        <v>761</v>
      </c>
      <c r="D4" s="75">
        <v>0.41666666666666669</v>
      </c>
      <c r="E4" s="75">
        <v>0.70833333333333337</v>
      </c>
      <c r="F4" s="92">
        <f t="shared" si="9"/>
        <v>6.5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6.5</v>
      </c>
      <c r="AC4" s="93"/>
      <c r="AD4" s="78"/>
      <c r="AE4" s="94">
        <f t="shared" si="17"/>
        <v>6.5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1</v>
      </c>
      <c r="AQ4" s="77"/>
      <c r="AR4" s="77"/>
      <c r="AS4" s="77"/>
      <c r="AT4" s="63">
        <f t="shared" si="24"/>
        <v>6.5</v>
      </c>
      <c r="AU4" s="78"/>
      <c r="AV4" s="5"/>
      <c r="AW4" s="5"/>
      <c r="AX4" s="5"/>
      <c r="AY4" s="5"/>
      <c r="AZ4" s="24">
        <f>VLOOKUP(C4,Employees!D:I,6,FALSE)</f>
        <v>10269</v>
      </c>
      <c r="BA4" s="5">
        <f t="shared" si="25"/>
        <v>7</v>
      </c>
      <c r="BB4" s="5">
        <f t="shared" si="26"/>
        <v>0.5</v>
      </c>
      <c r="BC4" s="5">
        <f t="shared" si="27"/>
        <v>6.5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1</v>
      </c>
    </row>
    <row r="5" spans="1:89" ht="47" customHeight="1">
      <c r="A5" s="74">
        <f t="shared" si="0"/>
        <v>10210</v>
      </c>
      <c r="B5" s="81" t="s">
        <v>41</v>
      </c>
      <c r="C5" s="97" t="s">
        <v>618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0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>
        <f>VLOOKUP(C5,Employees!D:I,6,FALSE)</f>
        <v>10210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10319</v>
      </c>
      <c r="B6" s="81" t="s">
        <v>41</v>
      </c>
      <c r="C6" s="98" t="s">
        <v>889</v>
      </c>
      <c r="D6" s="76">
        <v>0.625</v>
      </c>
      <c r="E6" s="75">
        <v>0.9243055555555556</v>
      </c>
      <c r="F6" s="92">
        <f t="shared" si="9"/>
        <v>6.6833333333333345</v>
      </c>
      <c r="G6" s="75"/>
      <c r="H6" s="76"/>
      <c r="I6" s="92">
        <f t="shared" si="10"/>
        <v>0</v>
      </c>
      <c r="J6" s="76">
        <v>0.5625</v>
      </c>
      <c r="K6" s="76">
        <v>0.92291666666666672</v>
      </c>
      <c r="L6" s="92">
        <f t="shared" si="11"/>
        <v>8.1500000000000021</v>
      </c>
      <c r="M6" s="76"/>
      <c r="N6" s="76"/>
      <c r="O6" s="92">
        <f t="shared" si="12"/>
        <v>0</v>
      </c>
      <c r="P6" s="76">
        <v>0.41666666666666669</v>
      </c>
      <c r="Q6" s="75">
        <v>0.625</v>
      </c>
      <c r="R6" s="92">
        <f t="shared" si="13"/>
        <v>5</v>
      </c>
      <c r="S6" s="75"/>
      <c r="T6" s="75"/>
      <c r="U6" s="92">
        <f t="shared" si="14"/>
        <v>0</v>
      </c>
      <c r="V6" s="75">
        <v>0.625</v>
      </c>
      <c r="W6" s="76">
        <v>0.92222222222222228</v>
      </c>
      <c r="X6" s="92">
        <f t="shared" si="15"/>
        <v>6.6333333333333346</v>
      </c>
      <c r="Y6" s="92"/>
      <c r="Z6" s="92"/>
      <c r="AA6" s="92"/>
      <c r="AB6" s="96">
        <f t="shared" si="16"/>
        <v>26.466666666666669</v>
      </c>
      <c r="AC6" s="93"/>
      <c r="AD6" s="78"/>
      <c r="AE6" s="94">
        <f t="shared" si="17"/>
        <v>19.5</v>
      </c>
      <c r="AF6" s="78"/>
      <c r="AG6" s="94">
        <f t="shared" si="18"/>
        <v>0</v>
      </c>
      <c r="AH6" s="78"/>
      <c r="AI6" s="94">
        <f t="shared" si="19"/>
        <v>6.6333333333333346</v>
      </c>
      <c r="AJ6" s="77"/>
      <c r="AK6" s="94">
        <f t="shared" si="20"/>
        <v>0</v>
      </c>
      <c r="AL6" s="78"/>
      <c r="AM6" s="94">
        <f t="shared" si="21"/>
        <v>0.33333333333333748</v>
      </c>
      <c r="AN6" s="77"/>
      <c r="AO6" s="94">
        <f t="shared" si="22"/>
        <v>0</v>
      </c>
      <c r="AP6" s="95">
        <f t="shared" si="23"/>
        <v>4</v>
      </c>
      <c r="AQ6" s="77"/>
      <c r="AR6" s="77"/>
      <c r="AS6" s="77"/>
      <c r="AT6" s="63">
        <f t="shared" si="24"/>
        <v>26.466666666666669</v>
      </c>
      <c r="AU6" s="78"/>
      <c r="AV6" s="5"/>
      <c r="AW6" s="5"/>
      <c r="AX6" s="5"/>
      <c r="AY6" s="5"/>
      <c r="AZ6" s="24">
        <f>VLOOKUP(C6,Employees!D:I,6,FALSE)</f>
        <v>10319</v>
      </c>
      <c r="BA6" s="5">
        <f t="shared" si="25"/>
        <v>7.1833333333333345</v>
      </c>
      <c r="BB6" s="5">
        <f t="shared" si="26"/>
        <v>0.5</v>
      </c>
      <c r="BC6" s="5">
        <f t="shared" si="27"/>
        <v>6.4999999999999991</v>
      </c>
      <c r="BD6" s="5">
        <f t="shared" si="28"/>
        <v>0.18333333333333535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8.6500000000000021</v>
      </c>
      <c r="BL6" s="5">
        <f t="shared" si="36"/>
        <v>0.5</v>
      </c>
      <c r="BM6" s="5">
        <f t="shared" si="37"/>
        <v>8</v>
      </c>
      <c r="BN6" s="5">
        <f t="shared" si="38"/>
        <v>0.15000000000000213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5</v>
      </c>
      <c r="BV6" s="5">
        <f t="shared" si="46"/>
        <v>0</v>
      </c>
      <c r="BW6" s="5">
        <f t="shared" si="47"/>
        <v>5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7.1333333333333346</v>
      </c>
      <c r="CF6" s="5">
        <f t="shared" si="56"/>
        <v>0.5</v>
      </c>
      <c r="CG6" s="5">
        <f t="shared" si="57"/>
        <v>6.4999999999999991</v>
      </c>
      <c r="CH6" s="5">
        <f t="shared" si="58"/>
        <v>0.13333333333333552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>
        <f t="shared" si="0"/>
        <v>10367</v>
      </c>
      <c r="B7" s="81" t="s">
        <v>41</v>
      </c>
      <c r="C7" s="99" t="s">
        <v>1135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>
        <v>0.42222222222222222</v>
      </c>
      <c r="K7" s="76">
        <v>0.70833333333333337</v>
      </c>
      <c r="L7" s="92">
        <f t="shared" si="11"/>
        <v>6.3666666666666671</v>
      </c>
      <c r="M7" s="76"/>
      <c r="N7" s="76"/>
      <c r="O7" s="92">
        <f t="shared" si="12"/>
        <v>0</v>
      </c>
      <c r="P7" s="76">
        <v>0.62777777777777777</v>
      </c>
      <c r="Q7" s="75">
        <v>0.92222222222222228</v>
      </c>
      <c r="R7" s="92">
        <f t="shared" si="13"/>
        <v>6.5666666666666682</v>
      </c>
      <c r="S7" s="76"/>
      <c r="T7" s="75"/>
      <c r="U7" s="92">
        <f t="shared" si="14"/>
        <v>0</v>
      </c>
      <c r="V7" s="75">
        <v>0.41666666666666669</v>
      </c>
      <c r="W7" s="76">
        <v>0.625</v>
      </c>
      <c r="X7" s="92">
        <f t="shared" si="15"/>
        <v>5</v>
      </c>
      <c r="Y7" s="92"/>
      <c r="Z7" s="92"/>
      <c r="AA7" s="92"/>
      <c r="AB7" s="96">
        <f t="shared" si="16"/>
        <v>17.933333333333337</v>
      </c>
      <c r="AC7" s="93"/>
      <c r="AD7" s="78"/>
      <c r="AE7" s="94">
        <f t="shared" si="17"/>
        <v>12.8</v>
      </c>
      <c r="AF7" s="77"/>
      <c r="AG7" s="94">
        <f t="shared" si="18"/>
        <v>0</v>
      </c>
      <c r="AH7" s="78"/>
      <c r="AI7" s="94">
        <f t="shared" si="19"/>
        <v>5</v>
      </c>
      <c r="AJ7" s="77"/>
      <c r="AK7" s="94">
        <f t="shared" si="20"/>
        <v>0</v>
      </c>
      <c r="AL7" s="78"/>
      <c r="AM7" s="94">
        <f t="shared" si="21"/>
        <v>0.13333333333333552</v>
      </c>
      <c r="AN7" s="77"/>
      <c r="AO7" s="94">
        <f t="shared" si="22"/>
        <v>0</v>
      </c>
      <c r="AP7" s="95">
        <f t="shared" si="23"/>
        <v>3</v>
      </c>
      <c r="AQ7" s="77"/>
      <c r="AR7" s="77"/>
      <c r="AS7" s="77"/>
      <c r="AT7" s="63">
        <f t="shared" si="24"/>
        <v>17.933333333333337</v>
      </c>
      <c r="AU7" s="78"/>
      <c r="AV7" s="5"/>
      <c r="AW7" s="5"/>
      <c r="AX7" s="5"/>
      <c r="AY7" s="5"/>
      <c r="AZ7" s="24">
        <f>VLOOKUP(C7,Employees!D:I,6,FALSE)</f>
        <v>10367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6.8666666666666671</v>
      </c>
      <c r="BL7" s="5">
        <f t="shared" si="36"/>
        <v>0.5</v>
      </c>
      <c r="BM7" s="5">
        <f t="shared" si="37"/>
        <v>6.3666666666666671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7.0666666666666682</v>
      </c>
      <c r="BV7" s="5">
        <f t="shared" si="46"/>
        <v>0.5</v>
      </c>
      <c r="BW7" s="5">
        <f t="shared" si="47"/>
        <v>6.4333333333333327</v>
      </c>
      <c r="BX7" s="5">
        <f t="shared" si="48"/>
        <v>0.13333333333333552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5</v>
      </c>
      <c r="CF7" s="5">
        <f t="shared" si="56"/>
        <v>0</v>
      </c>
      <c r="CG7" s="5">
        <f t="shared" si="57"/>
        <v>5</v>
      </c>
      <c r="CH7" s="5">
        <f t="shared" si="58"/>
        <v>0</v>
      </c>
      <c r="CI7" s="5">
        <f t="shared" si="59"/>
        <v>0</v>
      </c>
      <c r="CJ7" s="5"/>
      <c r="CK7" s="4">
        <f t="shared" si="8"/>
        <v>3</v>
      </c>
    </row>
    <row r="8" spans="1:89" ht="47" customHeight="1">
      <c r="A8" s="74">
        <f t="shared" si="0"/>
        <v>210489</v>
      </c>
      <c r="B8" s="81" t="s">
        <v>41</v>
      </c>
      <c r="C8" s="98" t="s">
        <v>1338</v>
      </c>
      <c r="D8" s="76">
        <v>0.70833333333333337</v>
      </c>
      <c r="E8" s="76">
        <v>0.9243055555555556</v>
      </c>
      <c r="F8" s="92">
        <f t="shared" si="9"/>
        <v>5.1833333333333336</v>
      </c>
      <c r="G8" s="76"/>
      <c r="H8" s="75"/>
      <c r="I8" s="92">
        <f t="shared" si="10"/>
        <v>0</v>
      </c>
      <c r="J8" s="76">
        <v>0.66666666666666663</v>
      </c>
      <c r="K8" s="75">
        <v>0.92361111111111116</v>
      </c>
      <c r="L8" s="92">
        <f t="shared" si="11"/>
        <v>5.6666666666666687</v>
      </c>
      <c r="M8" s="76"/>
      <c r="N8" s="75"/>
      <c r="O8" s="92">
        <f t="shared" si="12"/>
        <v>0</v>
      </c>
      <c r="P8" s="76">
        <v>0.58333333333333337</v>
      </c>
      <c r="Q8" s="76">
        <v>0.92708333333333337</v>
      </c>
      <c r="R8" s="92">
        <f t="shared" si="13"/>
        <v>7.75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18.600000000000001</v>
      </c>
      <c r="AC8" s="93"/>
      <c r="AD8" s="78"/>
      <c r="AE8" s="94">
        <f t="shared" si="17"/>
        <v>17.999999999999996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0.60000000000000586</v>
      </c>
      <c r="AN8" s="77"/>
      <c r="AO8" s="94">
        <f t="shared" si="22"/>
        <v>0</v>
      </c>
      <c r="AP8" s="95">
        <f t="shared" si="23"/>
        <v>3</v>
      </c>
      <c r="AQ8" s="77"/>
      <c r="AR8" s="77"/>
      <c r="AS8" s="77"/>
      <c r="AT8" s="63">
        <f t="shared" si="24"/>
        <v>18.600000000000001</v>
      </c>
      <c r="AU8" s="78"/>
      <c r="AV8" s="5"/>
      <c r="AW8" s="5"/>
      <c r="AX8" s="5"/>
      <c r="AY8" s="5"/>
      <c r="AZ8" s="24">
        <f>VLOOKUP(C8,Employees!D:I,6,FALSE)</f>
        <v>210489</v>
      </c>
      <c r="BA8" s="5">
        <f t="shared" si="25"/>
        <v>5.1833333333333336</v>
      </c>
      <c r="BB8" s="5">
        <f t="shared" si="26"/>
        <v>0</v>
      </c>
      <c r="BC8" s="5">
        <f t="shared" si="27"/>
        <v>4.9999999999999982</v>
      </c>
      <c r="BD8" s="5">
        <f t="shared" si="28"/>
        <v>0.18333333333333535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6.1666666666666687</v>
      </c>
      <c r="BL8" s="5">
        <f t="shared" si="36"/>
        <v>0.5</v>
      </c>
      <c r="BM8" s="5">
        <f t="shared" si="37"/>
        <v>5.5</v>
      </c>
      <c r="BN8" s="5">
        <f t="shared" si="38"/>
        <v>0.16666666666666874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8.25</v>
      </c>
      <c r="BV8" s="5">
        <f t="shared" si="46"/>
        <v>0.5</v>
      </c>
      <c r="BW8" s="5">
        <f t="shared" si="47"/>
        <v>7.4999999999999982</v>
      </c>
      <c r="BX8" s="5">
        <f t="shared" si="48"/>
        <v>0.25000000000000178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10382</v>
      </c>
      <c r="B9" s="81" t="s">
        <v>41</v>
      </c>
      <c r="C9" s="100" t="s">
        <v>1054</v>
      </c>
      <c r="D9" s="76"/>
      <c r="E9" s="75"/>
      <c r="F9" s="92">
        <f t="shared" si="9"/>
        <v>0</v>
      </c>
      <c r="G9" s="75">
        <v>0.58333333333333337</v>
      </c>
      <c r="H9" s="76">
        <v>0.92013888888888884</v>
      </c>
      <c r="I9" s="92">
        <f t="shared" si="10"/>
        <v>7.5833333333333321</v>
      </c>
      <c r="J9" s="76"/>
      <c r="K9" s="76"/>
      <c r="L9" s="92">
        <f t="shared" si="11"/>
        <v>0</v>
      </c>
      <c r="M9" s="75">
        <v>0.5625</v>
      </c>
      <c r="N9" s="75">
        <v>0.91666666666666663</v>
      </c>
      <c r="O9" s="92">
        <f t="shared" si="12"/>
        <v>8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15.583333333333332</v>
      </c>
      <c r="AC9" s="93"/>
      <c r="AD9" s="78"/>
      <c r="AE9" s="94">
        <f t="shared" si="17"/>
        <v>15.5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8.3333333333333037E-2</v>
      </c>
      <c r="AN9" s="77"/>
      <c r="AO9" s="94">
        <f t="shared" si="22"/>
        <v>0</v>
      </c>
      <c r="AP9" s="95">
        <f t="shared" si="23"/>
        <v>2</v>
      </c>
      <c r="AQ9" s="77"/>
      <c r="AR9" s="77"/>
      <c r="AS9" s="77"/>
      <c r="AT9" s="63">
        <f t="shared" si="24"/>
        <v>15.583333333333332</v>
      </c>
      <c r="AU9" s="78"/>
      <c r="AV9" s="5"/>
      <c r="AW9" s="5"/>
      <c r="AX9" s="5"/>
      <c r="AY9" s="5"/>
      <c r="AZ9" s="24">
        <f>VLOOKUP(C9,Employees!D:I,6,FALSE)</f>
        <v>10382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8.0833333333333321</v>
      </c>
      <c r="BG9" s="5">
        <f t="shared" si="31"/>
        <v>0.5</v>
      </c>
      <c r="BH9" s="5">
        <f t="shared" si="32"/>
        <v>7.4999999999999991</v>
      </c>
      <c r="BI9" s="5">
        <f t="shared" si="33"/>
        <v>8.3333333333333037E-2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8.5</v>
      </c>
      <c r="BQ9" s="5">
        <f t="shared" si="41"/>
        <v>0.5</v>
      </c>
      <c r="BR9" s="5">
        <f t="shared" si="42"/>
        <v>8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2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101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I6" sqref="I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10049</v>
      </c>
      <c r="B2" s="28">
        <f ca="1">IF(A2=0,"",_xlfn.NUMBERVALUE(A2))</f>
        <v>10049</v>
      </c>
      <c r="C2" s="28" t="str">
        <f ca="1">IF($A2=0,"",VLOOKUP($B2,Employees!$A:$G,2,FALSE))</f>
        <v>Yajun</v>
      </c>
      <c r="D2" s="28" t="str">
        <f ca="1">IF($A2=0,"",VLOOKUP($B2,Employees!$A:$G,3,FALSE))</f>
        <v>Chen</v>
      </c>
      <c r="E2" s="26">
        <f ca="1">IF($A2=0,"",VLOOKUP($B2,Employees!$A:$G,5,FALSE))</f>
        <v>35096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BRW</v>
      </c>
      <c r="L2" s="13" t="str">
        <f ca="1">IF($A2=0,"",VLOOKUP(K2,Stores!A:B,2,0))</f>
        <v>Superb</v>
      </c>
      <c r="M2" s="14">
        <f t="shared" ref="M2" ca="1" si="0">Y2+AK2</f>
        <v>2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0</v>
      </c>
      <c r="T2" s="14">
        <f t="shared" ref="T2" ca="1" si="6">AF2+AR2</f>
        <v>10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12</v>
      </c>
      <c r="Y2" s="17">
        <f ca="1">IF($A2=0,0,SUMIF('Week 1 Roster'!$AZ:$AZ,$B2,'Week 1 Roster'!$AE:$AE))</f>
        <v>1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0</v>
      </c>
      <c r="AF2" s="17">
        <f ca="1">IF($A2=0,0,SUMIF('Week 1 Roster'!$AZ:$AZ,$B2,'Week 1 Roster'!$AQ:$AQ))</f>
        <v>10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11</v>
      </c>
      <c r="AK2" s="17">
        <f ca="1">IF($A2=0,0,SUMIF('Week 2 Roster'!$AZ:$AZ,$B2,'Week 2 Roster'!$AE:$AE))</f>
        <v>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</v>
      </c>
      <c r="AV2" s="17"/>
      <c r="AW2" s="25">
        <f>'Week 1 Roster'!A2</f>
        <v>10049</v>
      </c>
      <c r="AX2" s="25">
        <f>'Week 2 Roster'!A2</f>
        <v>10049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10256</v>
      </c>
      <c r="B3" s="28">
        <f t="shared" ref="B3:B66" ca="1" si="9">IF(A3=0,"",_xlfn.NUMBERVALUE(A3))</f>
        <v>10256</v>
      </c>
      <c r="C3" s="28" t="str">
        <f ca="1">IF($A3=0,"",VLOOKUP($B3,Employees!$A:$G,2,FALSE))</f>
        <v>Quoc Trung</v>
      </c>
      <c r="D3" s="28" t="str">
        <f ca="1">IF($A3=0,"",VLOOKUP($B3,Employees!$A:$G,3,FALSE))</f>
        <v>DANG</v>
      </c>
      <c r="E3" s="26">
        <f ca="1">IF($A3=0,"",VLOOKUP($B3,Employees!$A:$G,5,FALSE))</f>
        <v>37267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BRW</v>
      </c>
      <c r="L3" s="13" t="str">
        <f ca="1">IF($A3=0,"",VLOOKUP(K3,Stores!A:B,2,0))</f>
        <v>Superb</v>
      </c>
      <c r="M3" s="14">
        <f t="shared" ref="M3:M66" ca="1" si="11">Y3+AK3</f>
        <v>40.499999999999986</v>
      </c>
      <c r="N3" s="14">
        <f t="shared" ref="N3:N66" ca="1" si="12">Z3+AL3</f>
        <v>17.666666666666671</v>
      </c>
      <c r="O3" s="14">
        <f t="shared" ref="O3:O66" ca="1" si="13">AA3+AM3</f>
        <v>4.4999999999999982</v>
      </c>
      <c r="P3" s="14">
        <f t="shared" ref="P3:P66" ca="1" si="14">AB3+AN3</f>
        <v>0</v>
      </c>
      <c r="Q3" s="14">
        <f t="shared" ref="Q3:Q66" ca="1" si="15">AC3+AO3</f>
        <v>0.46666666666666767</v>
      </c>
      <c r="R3" s="14">
        <f t="shared" ref="R3:R66" ca="1" si="16">AD3+AP3</f>
        <v>0</v>
      </c>
      <c r="S3" s="28">
        <f t="shared" ref="S3:S66" ca="1" si="17">AE3+AQ3</f>
        <v>7</v>
      </c>
      <c r="T3" s="14">
        <f t="shared" ref="T3:T66" ca="1" si="18">AF3+AR3</f>
        <v>0</v>
      </c>
      <c r="U3" s="14">
        <f t="shared" ref="U3:U66" ca="1" si="19">AG3+AS3</f>
        <v>5</v>
      </c>
      <c r="V3" s="14">
        <f t="shared" ref="V3:V66" ca="1" si="20">AH3+AT3</f>
        <v>0</v>
      </c>
      <c r="W3" s="14">
        <f t="shared" ref="W3:W66" ca="1" si="21">SUM(M3:R3,T3:V3)</f>
        <v>68.133333333333326</v>
      </c>
      <c r="Y3" s="17">
        <f ca="1">IF($A3=0,0,SUMIF('Week 1 Roster'!$AZ:$AZ,$B3,'Week 1 Roster'!$AE:$AE))</f>
        <v>18.499999999999993</v>
      </c>
      <c r="Z3" s="17">
        <f ca="1">IF($A3=0,0,SUMIF('Week 1 Roster'!$AZ:$AZ,$B3,'Week 1 Roster'!$AG:$AG))</f>
        <v>6.5166666666666684</v>
      </c>
      <c r="AA3" s="17">
        <f ca="1">IF($A3=0,0,SUMIF('Week 1 Roster'!$AZ:$AZ,$B3,'Week 1 Roster'!$AI:$AI))</f>
        <v>4.4999999999999982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0.25000000000000178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29.766666666666659</v>
      </c>
      <c r="AK3" s="17">
        <f ca="1">IF($A3=0,0,SUMIF('Week 2 Roster'!$AZ:$AZ,$B3,'Week 2 Roster'!$AE:$AE))</f>
        <v>21.999999999999996</v>
      </c>
      <c r="AL3" s="17">
        <f ca="1">IF($A3=0,0,SUMIF('Week 2 Roster'!$AZ:$AZ,$B3,'Week 2 Roster'!$AG:$AG))</f>
        <v>11.150000000000002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0.2166666666666659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5</v>
      </c>
      <c r="AT3" s="17">
        <f ca="1">IF($A3=0,0,SUMIF('Week 2 Roster'!$AZ:$AZ,$B3,'Week 2 Roster'!$AS:$AS))</f>
        <v>0</v>
      </c>
      <c r="AU3" s="17">
        <f t="shared" ref="AU3:AU66" ca="1" si="23">SUM(AK3:AP3,AR3:AT3)</f>
        <v>38.366666666666667</v>
      </c>
      <c r="AV3" s="17"/>
      <c r="AW3" s="25">
        <f>'Week 1 Roster'!A3</f>
        <v>10256</v>
      </c>
      <c r="AX3" s="25">
        <f>'Week 2 Roster'!A3</f>
        <v>10256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10269</v>
      </c>
      <c r="B4" s="28">
        <f t="shared" ca="1" si="9"/>
        <v>10269</v>
      </c>
      <c r="C4" s="28" t="str">
        <f ca="1">IF($A4=0,"",VLOOKUP($B4,Employees!$A:$G,2,FALSE))</f>
        <v>Mai Phuong</v>
      </c>
      <c r="D4" s="28" t="str">
        <f ca="1">IF($A4=0,"",VLOOKUP($B4,Employees!$A:$G,3,FALSE))</f>
        <v>Phan</v>
      </c>
      <c r="E4" s="26">
        <f ca="1">IF($A4=0,"",VLOOKUP($B4,Employees!$A:$G,5,FALSE))</f>
        <v>38054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BRW</v>
      </c>
      <c r="L4" s="13" t="str">
        <f ca="1">IF($A4=0,"",VLOOKUP(K4,Stores!A:B,2,0))</f>
        <v>Superb</v>
      </c>
      <c r="M4" s="14">
        <f t="shared" ca="1" si="11"/>
        <v>17.366666666666667</v>
      </c>
      <c r="N4" s="14">
        <f t="shared" ca="1" si="12"/>
        <v>4.8666666666666654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4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22.233333333333334</v>
      </c>
      <c r="Y4" s="17">
        <f ca="1">IF($A4=0,0,SUMIF('Week 1 Roster'!$AZ:$AZ,$B4,'Week 1 Roster'!$AE:$AE))</f>
        <v>10.866666666666665</v>
      </c>
      <c r="Z4" s="17">
        <f ca="1">IF($A4=0,0,SUMIF('Week 1 Roster'!$AZ:$AZ,$B4,'Week 1 Roster'!$AG:$AG))</f>
        <v>4.8666666666666654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15.733333333333331</v>
      </c>
      <c r="AK4" s="17">
        <f ca="1">IF($A4=0,0,SUMIF('Week 2 Roster'!$AZ:$AZ,$B4,'Week 2 Roster'!$AE:$AE))</f>
        <v>6.5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1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6.5</v>
      </c>
      <c r="AV4" s="17"/>
      <c r="AW4" s="25">
        <f>'Week 1 Roster'!A4</f>
        <v>10269</v>
      </c>
      <c r="AX4" s="25">
        <f>'Week 2 Roster'!A4</f>
        <v>10269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10210</v>
      </c>
      <c r="B5" s="28">
        <f t="shared" ca="1" si="9"/>
        <v>10210</v>
      </c>
      <c r="C5" s="28" t="str">
        <f ca="1">IF($A5=0,"",VLOOKUP($B5,Employees!$A:$G,2,FALSE))</f>
        <v>Yuping</v>
      </c>
      <c r="D5" s="28" t="str">
        <f ca="1">IF($A5=0,"",VLOOKUP($B5,Employees!$A:$G,3,FALSE))</f>
        <v>Gu</v>
      </c>
      <c r="E5" s="26">
        <f ca="1">IF($A5=0,"",VLOOKUP($B5,Employees!$A:$G,5,FALSE))</f>
        <v>35935</v>
      </c>
      <c r="F5" s="13">
        <f ca="1">IF($E5="","",ROUNDDOWN(YEARFRAC($E5, 'Week 1 Roster'!$D$1-1, 1), 0))</f>
        <v>27</v>
      </c>
      <c r="G5" s="13">
        <f ca="1">IF($E5="","",ROUNDDOWN(YEARFRAC($E5, 'Week 1 Roster'!$D$1+14, 1), 0))</f>
        <v>27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BRW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10210</v>
      </c>
      <c r="AX5" s="25">
        <f>'Week 2 Roster'!A5</f>
        <v>10210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10319</v>
      </c>
      <c r="B6" s="28">
        <f t="shared" ca="1" si="9"/>
        <v>10319</v>
      </c>
      <c r="C6" s="28" t="str">
        <f ca="1">IF($A6=0,"",VLOOKUP($B6,Employees!$A:$G,2,FALSE))</f>
        <v>Hoang Bach</v>
      </c>
      <c r="D6" s="28" t="str">
        <f ca="1">IF($A6=0,"",VLOOKUP($B6,Employees!$A:$G,3,FALSE))</f>
        <v>Nguyen</v>
      </c>
      <c r="E6" s="26">
        <f ca="1">IF($A6=0,"",VLOOKUP($B6,Employees!$A:$G,5,FALSE))</f>
        <v>38585</v>
      </c>
      <c r="F6" s="13">
        <f ca="1">IF($E6="","",ROUNDDOWN(YEARFRAC($E6, 'Week 1 Roster'!$D$1-1, 1), 0))</f>
        <v>20</v>
      </c>
      <c r="G6" s="13">
        <f ca="1">IF($E6="","",ROUNDDOWN(YEARFRAC($E6, 'Week 1 Roster'!$D$1+14, 1), 0))</f>
        <v>20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BRW</v>
      </c>
      <c r="L6" s="13" t="str">
        <f ca="1">IF($A6=0,"",VLOOKUP(K6,Stores!A:B,2,0))</f>
        <v>Superb</v>
      </c>
      <c r="M6" s="14">
        <f t="shared" ca="1" si="11"/>
        <v>41.483333333333334</v>
      </c>
      <c r="N6" s="14">
        <f t="shared" ca="1" si="12"/>
        <v>0</v>
      </c>
      <c r="O6" s="14">
        <f t="shared" ca="1" si="13"/>
        <v>13.883333333333336</v>
      </c>
      <c r="P6" s="14">
        <f t="shared" ca="1" si="14"/>
        <v>0</v>
      </c>
      <c r="Q6" s="14">
        <f t="shared" ca="1" si="15"/>
        <v>0.63333333333333908</v>
      </c>
      <c r="R6" s="14">
        <f t="shared" ca="1" si="16"/>
        <v>0</v>
      </c>
      <c r="S6" s="28">
        <f t="shared" ca="1" si="17"/>
        <v>8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56.000000000000014</v>
      </c>
      <c r="Y6" s="17">
        <f ca="1">IF($A6=0,0,SUMIF('Week 1 Roster'!$AZ:$AZ,$B6,'Week 1 Roster'!$AE:$AE))</f>
        <v>21.983333333333331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7.2500000000000018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0.3000000000000016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4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29.533333333333335</v>
      </c>
      <c r="AK6" s="17">
        <f ca="1">IF($A6=0,0,SUMIF('Week 2 Roster'!$AZ:$AZ,$B6,'Week 2 Roster'!$AE:$AE))</f>
        <v>19.5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6.6333333333333346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0.33333333333333748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26.466666666666669</v>
      </c>
      <c r="AV6" s="17"/>
      <c r="AW6" s="25">
        <f>'Week 1 Roster'!A6</f>
        <v>10319</v>
      </c>
      <c r="AX6" s="25">
        <f>'Week 2 Roster'!A6</f>
        <v>10319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10367</v>
      </c>
      <c r="B7" s="28">
        <f t="shared" ca="1" si="9"/>
        <v>10367</v>
      </c>
      <c r="C7" s="28" t="str">
        <f ca="1">IF($A7=0,"",VLOOKUP($B7,Employees!$A:$G,2,FALSE))</f>
        <v>Lam</v>
      </c>
      <c r="D7" s="28" t="str">
        <f ca="1">IF($A7=0,"",VLOOKUP($B7,Employees!$A:$G,3,FALSE))</f>
        <v>Dang</v>
      </c>
      <c r="E7" s="26">
        <f ca="1">IF($A7=0,"",VLOOKUP($B7,Employees!$A:$G,5,FALSE))</f>
        <v>38591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20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BRW</v>
      </c>
      <c r="L7" s="13" t="str">
        <f ca="1">IF($A7=0,"",VLOOKUP(K7,Stores!A:B,2,0))</f>
        <v>Superb</v>
      </c>
      <c r="M7" s="14">
        <f t="shared" ca="1" si="11"/>
        <v>37.116666666666667</v>
      </c>
      <c r="N7" s="14">
        <f t="shared" ca="1" si="12"/>
        <v>0</v>
      </c>
      <c r="O7" s="14">
        <f t="shared" ca="1" si="13"/>
        <v>5</v>
      </c>
      <c r="P7" s="14">
        <f t="shared" ca="1" si="14"/>
        <v>0</v>
      </c>
      <c r="Q7" s="14">
        <f t="shared" ca="1" si="15"/>
        <v>0.48333333333333695</v>
      </c>
      <c r="R7" s="14">
        <f t="shared" ca="1" si="16"/>
        <v>0</v>
      </c>
      <c r="S7" s="28">
        <f t="shared" ca="1" si="17"/>
        <v>7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42.6</v>
      </c>
      <c r="Y7" s="17">
        <f ca="1">IF($A7=0,0,SUMIF('Week 1 Roster'!$AZ:$AZ,$B7,'Week 1 Roster'!$AE:$AE))</f>
        <v>24.316666666666666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0.35000000000000142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4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24.666666666666668</v>
      </c>
      <c r="AK7" s="17">
        <f ca="1">IF($A7=0,0,SUMIF('Week 2 Roster'!$AZ:$AZ,$B7,'Week 2 Roster'!$AE:$AE))</f>
        <v>12.8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5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0.13333333333333552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17.933333333333337</v>
      </c>
      <c r="AV7" s="17"/>
      <c r="AW7" s="25">
        <f>'Week 1 Roster'!A7</f>
        <v>10367</v>
      </c>
      <c r="AX7" s="25">
        <f>'Week 2 Roster'!A7</f>
        <v>10367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210489</v>
      </c>
      <c r="B8" s="28">
        <f t="shared" ca="1" si="9"/>
        <v>210489</v>
      </c>
      <c r="C8" s="28" t="str">
        <f ca="1">IF($A8=0,"",VLOOKUP($B8,Employees!$A:$G,2,FALSE))</f>
        <v>Bryan</v>
      </c>
      <c r="D8" s="28" t="str">
        <f ca="1">IF($A8=0,"",VLOOKUP($B8,Employees!$A:$G,3,FALSE))</f>
        <v>Gunadi</v>
      </c>
      <c r="E8" s="26">
        <f ca="1">IF($A8=0,"",VLOOKUP($B8,Employees!$A:$G,5,FALSE))</f>
        <v>38332</v>
      </c>
      <c r="F8" s="13">
        <f ca="1">IF($E8="","",ROUNDDOWN(YEARFRAC($E8, 'Week 1 Roster'!$D$1-1, 1), 0))</f>
        <v>20</v>
      </c>
      <c r="G8" s="13">
        <f ca="1">IF($E8="","",ROUNDDOWN(YEARFRAC($E8, 'Week 1 Roster'!$D$1+14, 1), 0))</f>
        <v>20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BRW</v>
      </c>
      <c r="L8" s="13" t="str">
        <f ca="1">IF($A8=0,"",VLOOKUP(K8,Stores!A:B,2,0))</f>
        <v>Superb</v>
      </c>
      <c r="M8" s="14">
        <f t="shared" ca="1" si="11"/>
        <v>38.783333333333331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1.3500000000000112</v>
      </c>
      <c r="R8" s="14">
        <f t="shared" ca="1" si="16"/>
        <v>0</v>
      </c>
      <c r="S8" s="28">
        <f t="shared" ca="1" si="17"/>
        <v>6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40.13333333333334</v>
      </c>
      <c r="Y8" s="17">
        <f ca="1">IF($A8=0,0,SUMIF('Week 1 Roster'!$AZ:$AZ,$B8,'Week 1 Roster'!$AE:$AE))</f>
        <v>20.783333333333331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0.75000000000000533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3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21.533333333333339</v>
      </c>
      <c r="AK8" s="17">
        <f ca="1">IF($A8=0,0,SUMIF('Week 2 Roster'!$AZ:$AZ,$B8,'Week 2 Roster'!$AE:$AE))</f>
        <v>17.999999999999996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0.60000000000000586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3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18.600000000000001</v>
      </c>
      <c r="AV8" s="17"/>
      <c r="AW8" s="25">
        <f>'Week 1 Roster'!A8</f>
        <v>210489</v>
      </c>
      <c r="AX8" s="25">
        <f>'Week 2 Roster'!A8</f>
        <v>210489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10382</v>
      </c>
      <c r="B9" s="28">
        <f t="shared" ca="1" si="9"/>
        <v>10382</v>
      </c>
      <c r="C9" s="28" t="str">
        <f ca="1">IF($A9=0,"",VLOOKUP($B9,Employees!$A:$G,2,FALSE))</f>
        <v>Vi Viet Hoang</v>
      </c>
      <c r="D9" s="28" t="str">
        <f ca="1">IF($A9=0,"",VLOOKUP($B9,Employees!$A:$G,3,FALSE))</f>
        <v>Ngo</v>
      </c>
      <c r="E9" s="26">
        <f ca="1">IF($A9=0,"",VLOOKUP($B9,Employees!$A:$G,5,FALSE))</f>
        <v>37906</v>
      </c>
      <c r="F9" s="13">
        <f ca="1">IF($E9="","",ROUNDDOWN(YEARFRAC($E9, 'Week 1 Roster'!$D$1-1, 1), 0))</f>
        <v>22</v>
      </c>
      <c r="G9" s="13">
        <f ca="1">IF($E9="","",ROUNDDOWN(YEARFRAC($E9, 'Week 1 Roster'!$D$1+14, 1), 0))</f>
        <v>22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BRW</v>
      </c>
      <c r="L9" s="13" t="str">
        <f ca="1">IF($A9=0,"",VLOOKUP(K9,Stores!A:B,2,0))</f>
        <v>Superb</v>
      </c>
      <c r="M9" s="14">
        <f t="shared" ca="1" si="11"/>
        <v>15.5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8.3333333333333037E-2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15.583333333333332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15.5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8.3333333333333037E-2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2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15.583333333333332</v>
      </c>
      <c r="AV9" s="17"/>
      <c r="AW9" s="25" t="str">
        <f>'Week 1 Roster'!A9</f>
        <v/>
      </c>
      <c r="AX9" s="25">
        <f>'Week 2 Roster'!A9</f>
        <v>10382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3" zoomScale="186" zoomScaleNormal="186" workbookViewId="0">
      <selection activeCell="C522" sqref="C522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fCWOh3EEH/jaBVeAgBxVk5lQ71Aedn5rEbxoLMAbPFgrbJoC4S64sGL1r1+qxMd9T3an/ldITF8wSMf/wZliBA==" saltValue="EeMdznbBQmI6mvMzVSVInw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2025-11-10T04:57:57Z</dcterms:modified>
</cp:coreProperties>
</file>