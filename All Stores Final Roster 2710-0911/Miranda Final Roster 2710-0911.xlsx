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A5488146-0BBE-4947-89E8-8B02F40C0717}" xr6:coauthVersionLast="47" xr6:coauthVersionMax="47" xr10:uidLastSave="{00000000-0000-0000-0000-000000000000}"/>
  <bookViews>
    <workbookView xWindow="0" yWindow="780" windowWidth="29400" windowHeight="1696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Z13" i="2"/>
  <c r="A13" i="2" s="1"/>
  <c r="AW13" i="12" s="1"/>
  <c r="AZ12" i="2"/>
  <c r="AZ11" i="2"/>
  <c r="AZ10" i="2"/>
  <c r="AZ9" i="2"/>
  <c r="AZ8" i="2"/>
  <c r="AZ7" i="2"/>
  <c r="A7" i="2" s="1"/>
  <c r="AW7" i="12" s="1"/>
  <c r="AZ6" i="2"/>
  <c r="A6" i="2" s="1"/>
  <c r="AW6" i="12" s="1"/>
  <c r="AZ5" i="2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4" i="2"/>
  <c r="AW14" i="12" s="1"/>
  <c r="A12" i="2"/>
  <c r="AW12" i="12" s="1"/>
  <c r="A11" i="2"/>
  <c r="AW11" i="12" s="1"/>
  <c r="A10" i="2"/>
  <c r="AW10" i="12" s="1"/>
  <c r="A9" i="2"/>
  <c r="AW9" i="12" s="1"/>
  <c r="A8" i="2"/>
  <c r="AW8" i="12" s="1"/>
  <c r="A5" i="2"/>
  <c r="AW5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I60" i="18"/>
  <c r="I9" i="2"/>
  <c r="F45" i="2"/>
  <c r="X47" i="2"/>
  <c r="X6" i="2" l="1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O6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X11" i="2" l="1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3" i="12" a="1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X1" i="2"/>
  <c r="CG1" i="2" s="1"/>
  <c r="A3" i="12"/>
  <c r="T2" i="12" l="1"/>
  <c r="U2" i="12"/>
  <c r="S2" i="12"/>
  <c r="BY1" i="2"/>
  <c r="V2" i="12"/>
  <c r="G2" i="12"/>
  <c r="H2" i="12" s="1"/>
  <c r="K3" i="12"/>
  <c r="L3" i="12" s="1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AA3" i="12" s="1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C3" i="12" s="1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B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D3" i="12" s="1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Z3" i="12"/>
  <c r="AG3" i="12"/>
  <c r="AH3" i="12"/>
  <c r="AS3" i="12"/>
  <c r="A4" i="12" a="1"/>
  <c r="AA2" i="12" l="1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I3" i="12"/>
  <c r="A4" i="12"/>
  <c r="K4" i="12" l="1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H8" i="12"/>
  <c r="J8" i="12"/>
  <c r="AC8" i="12"/>
  <c r="AQ8" i="12"/>
  <c r="A9" i="12" a="1"/>
  <c r="AE8" i="12" l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V8" i="12" s="1"/>
  <c r="Z8" i="12"/>
  <c r="A9" i="12"/>
  <c r="B9" i="12" s="1"/>
  <c r="S8" i="12"/>
  <c r="N8" i="12" l="1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A10" i="12"/>
  <c r="K10" i="12" s="1"/>
  <c r="L10" i="12" s="1"/>
  <c r="Q9" i="12"/>
  <c r="N9" i="12"/>
  <c r="H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K10" i="12"/>
  <c r="AO10" i="12"/>
  <c r="AE10" i="12"/>
  <c r="AA10" i="12"/>
  <c r="AH10" i="12"/>
  <c r="Z10" i="12"/>
  <c r="E10" i="12"/>
  <c r="AN10" i="12"/>
  <c r="AC10" i="12"/>
  <c r="AS10" i="12"/>
  <c r="AQ10" i="12"/>
  <c r="AR10" i="12"/>
  <c r="AF10" i="12"/>
  <c r="AD10" i="12"/>
  <c r="AG10" i="12"/>
  <c r="D10" i="12"/>
  <c r="AL10" i="12"/>
  <c r="C10" i="12"/>
  <c r="AT10" i="12"/>
  <c r="J10" i="12"/>
  <c r="Y10" i="12"/>
  <c r="I10" i="12"/>
  <c r="AB10" i="12"/>
  <c r="AM10" i="12"/>
  <c r="R10" i="12" l="1"/>
  <c r="M10" i="12"/>
  <c r="Q10" i="12"/>
  <c r="T10" i="12"/>
  <c r="V10" i="12"/>
  <c r="S10" i="12"/>
  <c r="O10" i="12"/>
  <c r="AI10" i="12"/>
  <c r="U10" i="12"/>
  <c r="P10" i="12"/>
  <c r="N10" i="12"/>
  <c r="F10" i="12"/>
  <c r="AU10" i="12"/>
  <c r="G10" i="12"/>
  <c r="W10" i="12" l="1"/>
  <c r="H10" i="12"/>
  <c r="A11" i="12" a="1"/>
  <c r="A11" i="12" l="1"/>
  <c r="K11" i="12" l="1"/>
  <c r="D11" i="12"/>
  <c r="I11" i="12"/>
  <c r="AQ11" i="12"/>
  <c r="AL11" i="12"/>
  <c r="B11" i="12"/>
  <c r="AC11" i="12"/>
  <c r="AK11" i="12"/>
  <c r="L11" i="12"/>
  <c r="AD11" i="12"/>
  <c r="AR11" i="12"/>
  <c r="AS11" i="12"/>
  <c r="AF11" i="12"/>
  <c r="AO11" i="12"/>
  <c r="Y11" i="12"/>
  <c r="AG11" i="12"/>
  <c r="AM11" i="12"/>
  <c r="C11" i="12"/>
  <c r="AP11" i="12"/>
  <c r="AB11" i="12"/>
  <c r="AE11" i="12"/>
  <c r="AH11" i="12"/>
  <c r="J11" i="12"/>
  <c r="AA11" i="12"/>
  <c r="AN11" i="12"/>
  <c r="Z11" i="12"/>
  <c r="E11" i="12"/>
  <c r="AT11" i="12"/>
  <c r="O11" i="12" l="1"/>
  <c r="S11" i="12"/>
  <c r="P11" i="12"/>
  <c r="U11" i="12"/>
  <c r="T11" i="12"/>
  <c r="Q11" i="12"/>
  <c r="AU11" i="12"/>
  <c r="AI11" i="12"/>
  <c r="M11" i="12"/>
  <c r="V11" i="12"/>
  <c r="F11" i="12"/>
  <c r="H11" i="12"/>
  <c r="G11" i="12"/>
  <c r="N11" i="12"/>
  <c r="R11" i="12"/>
  <c r="A12" i="12" a="1"/>
  <c r="A12" i="12" l="1"/>
  <c r="W11" i="12"/>
  <c r="L12" i="12" l="1"/>
  <c r="C12" i="12"/>
  <c r="I12" i="12"/>
  <c r="AL12" i="12"/>
  <c r="E12" i="12"/>
  <c r="AF12" i="12"/>
  <c r="B12" i="12"/>
  <c r="AE12" i="12"/>
  <c r="S12" i="12" s="1"/>
  <c r="AA12" i="12"/>
  <c r="AQ12" i="12"/>
  <c r="D12" i="12"/>
  <c r="J12" i="12"/>
  <c r="AK12" i="12"/>
  <c r="AS12" i="12"/>
  <c r="AT12" i="12"/>
  <c r="AO12" i="12"/>
  <c r="AN12" i="12"/>
  <c r="AH12" i="12"/>
  <c r="AB12" i="12"/>
  <c r="K12" i="12"/>
  <c r="AR12" i="12"/>
  <c r="AC12" i="12"/>
  <c r="Y12" i="12"/>
  <c r="Z12" i="12"/>
  <c r="AM12" i="12"/>
  <c r="AG12" i="12"/>
  <c r="AP12" i="12"/>
  <c r="AD12" i="12"/>
  <c r="N12" i="12" l="1"/>
  <c r="P12" i="12"/>
  <c r="R12" i="12"/>
  <c r="T12" i="12"/>
  <c r="M12" i="12"/>
  <c r="AI12" i="12"/>
  <c r="AU12" i="12"/>
  <c r="H12" i="12"/>
  <c r="F12" i="12"/>
  <c r="G12" i="12"/>
  <c r="U12" i="12"/>
  <c r="Q12" i="12"/>
  <c r="V12" i="12"/>
  <c r="O12" i="12"/>
  <c r="A13" i="12" a="1"/>
  <c r="A13" i="12" l="1"/>
  <c r="W12" i="12"/>
  <c r="AN13" i="12" l="1"/>
  <c r="L13" i="12"/>
  <c r="K13" i="12"/>
  <c r="C13" i="12"/>
  <c r="AH13" i="12"/>
  <c r="AT13" i="12"/>
  <c r="AO13" i="12"/>
  <c r="AL13" i="12"/>
  <c r="I13" i="12"/>
  <c r="B13" i="12"/>
  <c r="AM13" i="12"/>
  <c r="AB13" i="12"/>
  <c r="D13" i="12"/>
  <c r="AD13" i="12"/>
  <c r="AF13" i="12"/>
  <c r="AP13" i="12"/>
  <c r="AR13" i="12"/>
  <c r="Y13" i="12"/>
  <c r="AA13" i="12"/>
  <c r="AE13" i="12"/>
  <c r="E13" i="12"/>
  <c r="AG13" i="12"/>
  <c r="J13" i="12"/>
  <c r="Z13" i="12"/>
  <c r="AQ13" i="12"/>
  <c r="AS13" i="12"/>
  <c r="AK13" i="12"/>
  <c r="AC13" i="12"/>
  <c r="U13" i="12" l="1"/>
  <c r="N13" i="12"/>
  <c r="T13" i="12"/>
  <c r="S13" i="12"/>
  <c r="P13" i="12"/>
  <c r="O13" i="12"/>
  <c r="Q13" i="12"/>
  <c r="AU13" i="12"/>
  <c r="M13" i="12"/>
  <c r="AI13" i="12"/>
  <c r="R13" i="12"/>
  <c r="F13" i="12"/>
  <c r="G13" i="12"/>
  <c r="H13" i="12"/>
  <c r="V13" i="12"/>
  <c r="A14" i="12" a="1"/>
  <c r="A14" i="12" l="1"/>
  <c r="W13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S14" i="12" s="1"/>
  <c r="K14" i="12"/>
  <c r="D14" i="12"/>
  <c r="AL14" i="12"/>
  <c r="AD14" i="12"/>
  <c r="AH14" i="12"/>
  <c r="V14" i="12" s="1"/>
  <c r="AS14" i="12"/>
  <c r="AM14" i="12"/>
  <c r="J14" i="12"/>
  <c r="AN14" i="12"/>
  <c r="AA14" i="12"/>
  <c r="AP14" i="12"/>
  <c r="R14" i="12" l="1"/>
  <c r="N14" i="12"/>
  <c r="P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AE15" i="12"/>
  <c r="AG15" i="12"/>
  <c r="Y15" i="12"/>
  <c r="L15" i="12"/>
  <c r="AM15" i="12"/>
  <c r="AB15" i="12"/>
  <c r="AO15" i="12"/>
  <c r="D15" i="12"/>
  <c r="K15" i="12"/>
  <c r="AS15" i="12"/>
  <c r="Z15" i="12"/>
  <c r="N15" i="12" s="1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O15" i="12" l="1"/>
  <c r="V15" i="12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AM16" i="12"/>
  <c r="AD16" i="12"/>
  <c r="AK16" i="12"/>
  <c r="I16" i="12"/>
  <c r="AN16" i="12"/>
  <c r="E16" i="12"/>
  <c r="AH16" i="12"/>
  <c r="V16" i="12" s="1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A17" i="12" a="1"/>
  <c r="P16" i="12" l="1"/>
  <c r="T16" i="12"/>
  <c r="R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AE17" i="12"/>
  <c r="L17" i="12"/>
  <c r="AG17" i="12"/>
  <c r="AM17" i="12"/>
  <c r="AR17" i="12"/>
  <c r="C17" i="12"/>
  <c r="AD17" i="12"/>
  <c r="AF17" i="12"/>
  <c r="AS17" i="12"/>
  <c r="AA17" i="12"/>
  <c r="Z17" i="12"/>
  <c r="N17" i="12" s="1"/>
  <c r="D17" i="12"/>
  <c r="AC17" i="12"/>
  <c r="I17" i="12"/>
  <c r="AO17" i="12"/>
  <c r="E17" i="12"/>
  <c r="AP17" i="12"/>
  <c r="A18" i="12" a="1"/>
  <c r="V17" i="12" l="1"/>
  <c r="S17" i="12"/>
  <c r="T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N18" i="12" s="1"/>
  <c r="AQ18" i="12"/>
  <c r="K18" i="12"/>
  <c r="E18" i="12"/>
  <c r="AE18" i="12"/>
  <c r="AR18" i="12"/>
  <c r="T18" i="12" s="1"/>
  <c r="AN18" i="12"/>
  <c r="AK18" i="12"/>
  <c r="AS18" i="12"/>
  <c r="D18" i="12"/>
  <c r="AD18" i="12"/>
  <c r="R18" i="12" s="1"/>
  <c r="AA18" i="12"/>
  <c r="J18" i="12"/>
  <c r="AB18" i="12"/>
  <c r="AM18" i="12"/>
  <c r="AT18" i="12"/>
  <c r="AH18" i="12"/>
  <c r="V18" i="12" s="1"/>
  <c r="L18" i="12"/>
  <c r="A19" i="12" a="1"/>
  <c r="S18" i="12" l="1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T19" i="12" s="1"/>
  <c r="A20" i="12" a="1"/>
  <c r="R19" i="12" l="1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P20" i="12" s="1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A21" i="12" a="1"/>
  <c r="R20" i="12" l="1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P21" i="12" l="1"/>
  <c r="T21" i="12"/>
  <c r="O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O22" i="12" s="1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N22" i="12" l="1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T23" i="12" s="1"/>
  <c r="AS23" i="12"/>
  <c r="AK23" i="12"/>
  <c r="Z23" i="12"/>
  <c r="AT23" i="12"/>
  <c r="AR23" i="12"/>
  <c r="AC23" i="12"/>
  <c r="AA23" i="12"/>
  <c r="L23" i="12"/>
  <c r="A24" i="12" a="1"/>
  <c r="S23" i="12" l="1"/>
  <c r="U23" i="12"/>
  <c r="O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N25" i="12" l="1"/>
  <c r="T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O26" i="12" l="1"/>
  <c r="U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R27" i="12" s="1"/>
  <c r="AG27" i="12"/>
  <c r="AS27" i="12"/>
  <c r="AH27" i="12"/>
  <c r="E27" i="12"/>
  <c r="AB27" i="12"/>
  <c r="AO27" i="12"/>
  <c r="A28" i="12" a="1"/>
  <c r="Q27" i="12" l="1"/>
  <c r="U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O29" i="12" s="1"/>
  <c r="AH29" i="12"/>
  <c r="AS29" i="12"/>
  <c r="AO29" i="12"/>
  <c r="AN29" i="12"/>
  <c r="I29" i="12"/>
  <c r="AL29" i="12"/>
  <c r="AE29" i="12"/>
  <c r="AD29" i="12"/>
  <c r="R29" i="12" s="1"/>
  <c r="C29" i="12"/>
  <c r="B29" i="12"/>
  <c r="K29" i="12"/>
  <c r="L29" i="12"/>
  <c r="AB29" i="12"/>
  <c r="AR29" i="12"/>
  <c r="AT29" i="12"/>
  <c r="A30" i="12" a="1"/>
  <c r="P29" i="12" l="1"/>
  <c r="Q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N30" i="12" s="1"/>
  <c r="AG30" i="12"/>
  <c r="D30" i="12"/>
  <c r="AQ30" i="12"/>
  <c r="AR30" i="12"/>
  <c r="J30" i="12"/>
  <c r="A31" i="12" a="1"/>
  <c r="O30" i="12" l="1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U31" i="12" s="1"/>
  <c r="AA31" i="12"/>
  <c r="O31" i="12" s="1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Q31" i="12" s="1"/>
  <c r="J31" i="12"/>
  <c r="AT31" i="12"/>
  <c r="AQ31" i="12"/>
  <c r="A32" i="12" a="1"/>
  <c r="V31" i="12" l="1"/>
  <c r="S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U32" i="12"/>
  <c r="N32" i="12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N33" i="12" s="1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Q34" i="12" s="1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O34" i="12" l="1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O35" i="12" s="1"/>
  <c r="A36" i="12" a="1"/>
  <c r="V35" i="12" l="1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R36" i="12" s="1"/>
  <c r="AC36" i="12"/>
  <c r="AN36" i="12"/>
  <c r="J36" i="12"/>
  <c r="AA36" i="12"/>
  <c r="AB36" i="12"/>
  <c r="Y36" i="12"/>
  <c r="AH36" i="12"/>
  <c r="V36" i="12" s="1"/>
  <c r="AS36" i="12"/>
  <c r="AL36" i="12"/>
  <c r="AF36" i="12"/>
  <c r="T36" i="12" s="1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Q36" i="12" l="1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N40" i="12" s="1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V40" i="12" s="1"/>
  <c r="L40" i="12"/>
  <c r="AB40" i="12"/>
  <c r="AC40" i="12"/>
  <c r="Q40" i="12" s="1"/>
  <c r="AM40" i="12"/>
  <c r="AK40" i="12"/>
  <c r="AT40" i="12"/>
  <c r="Y40" i="12"/>
  <c r="A41" i="12" a="1"/>
  <c r="O40" i="12" l="1"/>
  <c r="U40" i="12"/>
  <c r="P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V41" i="12" s="1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N41" i="12" s="1"/>
  <c r="I41" i="12"/>
  <c r="D41" i="12"/>
  <c r="A42" i="12" a="1"/>
  <c r="T41" i="12" l="1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T43" i="12" s="1"/>
  <c r="AG43" i="12"/>
  <c r="U43" i="12" s="1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S43" i="12" s="1"/>
  <c r="A44" i="12" a="1"/>
  <c r="P43" i="12" l="1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T45" i="12" s="1"/>
  <c r="AO45" i="12"/>
  <c r="AQ45" i="12"/>
  <c r="E45" i="12"/>
  <c r="Y45" i="12"/>
  <c r="AT45" i="12"/>
  <c r="K45" i="12"/>
  <c r="AE45" i="12"/>
  <c r="AB45" i="12"/>
  <c r="P45" i="12" s="1"/>
  <c r="J45" i="12"/>
  <c r="AK45" i="12"/>
  <c r="Z45" i="12"/>
  <c r="AR45" i="12"/>
  <c r="AM45" i="12"/>
  <c r="AP45" i="12"/>
  <c r="AG45" i="12"/>
  <c r="A46" i="12" a="1"/>
  <c r="V45" i="12" l="1"/>
  <c r="U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P46" i="12" s="1"/>
  <c r="Y46" i="12"/>
  <c r="AT46" i="12"/>
  <c r="AP46" i="12"/>
  <c r="AG46" i="12"/>
  <c r="U46" i="12" s="1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T46" i="12" l="1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N47" i="12" s="1"/>
  <c r="AQ47" i="12"/>
  <c r="AT47" i="12"/>
  <c r="AE47" i="12"/>
  <c r="AK47" i="12"/>
  <c r="AL47" i="12"/>
  <c r="E47" i="12"/>
  <c r="AD47" i="12"/>
  <c r="AF47" i="12"/>
  <c r="T47" i="12" s="1"/>
  <c r="AM47" i="12"/>
  <c r="Y47" i="12"/>
  <c r="AC47" i="12"/>
  <c r="Q47" i="12" s="1"/>
  <c r="AA47" i="12"/>
  <c r="K47" i="12"/>
  <c r="AB47" i="12"/>
  <c r="J47" i="12"/>
  <c r="AP47" i="12"/>
  <c r="A48" i="12" a="1"/>
  <c r="U47" i="12" l="1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Q48" i="12" s="1"/>
  <c r="A49" i="12" a="1"/>
  <c r="U48" i="12" l="1"/>
  <c r="T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N49" i="12" s="1"/>
  <c r="Y49" i="12"/>
  <c r="AG49" i="12"/>
  <c r="U49" i="12" s="1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T52" i="12" s="1"/>
  <c r="I52" i="12"/>
  <c r="B52" i="12"/>
  <c r="AS52" i="12"/>
  <c r="K52" i="12"/>
  <c r="AO52" i="12"/>
  <c r="AR52" i="12"/>
  <c r="L52" i="12"/>
  <c r="A53" i="12" a="1"/>
  <c r="N52" i="12" l="1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V53" i="12" s="1"/>
  <c r="AC53" i="12"/>
  <c r="Q53" i="12" s="1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O53" i="12" l="1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P54" i="12" s="1"/>
  <c r="AR54" i="12"/>
  <c r="AO54" i="12"/>
  <c r="AP54" i="12"/>
  <c r="K54" i="12"/>
  <c r="AM54" i="12"/>
  <c r="AF54" i="12"/>
  <c r="J54" i="12"/>
  <c r="C54" i="12"/>
  <c r="AH54" i="12"/>
  <c r="A55" i="12" a="1"/>
  <c r="V54" i="12" l="1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N55" i="12" s="1"/>
  <c r="K55" i="12"/>
  <c r="AD55" i="12"/>
  <c r="AR55" i="12"/>
  <c r="I55" i="12"/>
  <c r="Y55" i="12"/>
  <c r="AM55" i="12"/>
  <c r="A56" i="12" a="1"/>
  <c r="T55" i="12" l="1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Q57" i="12" s="1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R57" i="12" l="1"/>
  <c r="O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U58" i="12" s="1"/>
  <c r="L58" i="12"/>
  <c r="AP58" i="12"/>
  <c r="E58" i="12"/>
  <c r="Z58" i="12"/>
  <c r="AO58" i="12"/>
  <c r="AH58" i="12"/>
  <c r="V58" i="12" s="1"/>
  <c r="A59" i="12" a="1"/>
  <c r="P58" i="12" l="1"/>
  <c r="Q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S59" i="12" s="1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R60" i="12" s="1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U61" i="12" s="1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T61" i="12" l="1"/>
  <c r="P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P62" i="12" s="1"/>
  <c r="AP62" i="12"/>
  <c r="AD62" i="12"/>
  <c r="AL62" i="12"/>
  <c r="AM62" i="12"/>
  <c r="AN62" i="12"/>
  <c r="J62" i="12"/>
  <c r="AO62" i="12"/>
  <c r="AG62" i="12"/>
  <c r="U62" i="12" s="1"/>
  <c r="AT62" i="12"/>
  <c r="D62" i="12"/>
  <c r="Y62" i="12"/>
  <c r="AC62" i="12"/>
  <c r="C62" i="12"/>
  <c r="Z62" i="12"/>
  <c r="L62" i="12"/>
  <c r="K62" i="12"/>
  <c r="A63" i="12" a="1"/>
  <c r="R62" i="12" l="1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N63" i="12" s="1"/>
  <c r="AD63" i="12"/>
  <c r="E63" i="12"/>
  <c r="AP63" i="12"/>
  <c r="AF63" i="12"/>
  <c r="C63" i="12"/>
  <c r="J63" i="12"/>
  <c r="AG63" i="12"/>
  <c r="AA63" i="12"/>
  <c r="O63" i="12" s="1"/>
  <c r="AK63" i="12"/>
  <c r="AQ63" i="12"/>
  <c r="AT63" i="12"/>
  <c r="AB63" i="12"/>
  <c r="K63" i="12"/>
  <c r="Y63" i="12"/>
  <c r="AC63" i="12"/>
  <c r="Q63" i="12" s="1"/>
  <c r="D63" i="12"/>
  <c r="B63" i="12"/>
  <c r="AE63" i="12"/>
  <c r="I63" i="12"/>
  <c r="AR63" i="12"/>
  <c r="AH63" i="12"/>
  <c r="V63" i="12" s="1"/>
  <c r="A64" i="12" a="1"/>
  <c r="S63" i="12" l="1"/>
  <c r="U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Q64" i="12" l="1"/>
  <c r="AU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R65" i="12" s="1"/>
  <c r="A66" i="12" a="1"/>
  <c r="P65" i="12" l="1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N66" i="12" s="1"/>
  <c r="AK66" i="12"/>
  <c r="AD66" i="12"/>
  <c r="R66" i="12" s="1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V66" i="12" l="1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V67" i="12" s="1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S67" i="12" s="1"/>
  <c r="A68" i="12" a="1"/>
  <c r="U67" i="12" l="1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P69" i="12" l="1"/>
  <c r="O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O73" i="12" s="1"/>
  <c r="AN73" i="12"/>
  <c r="AH73" i="12"/>
  <c r="AE73" i="12"/>
  <c r="AG73" i="12"/>
  <c r="AS73" i="12"/>
  <c r="AC73" i="12"/>
  <c r="AM73" i="12"/>
  <c r="AL73" i="12"/>
  <c r="A74" i="12" a="1"/>
  <c r="V73" i="12" l="1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S74" i="12" s="1"/>
  <c r="AL74" i="12"/>
  <c r="K74" i="12"/>
  <c r="L74" i="12"/>
  <c r="AP74" i="12"/>
  <c r="E74" i="12"/>
  <c r="AH74" i="12"/>
  <c r="D74" i="12"/>
  <c r="AT74" i="12"/>
  <c r="A75" i="12" a="1"/>
  <c r="R74" i="12" l="1"/>
  <c r="P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Q75" i="12" s="1"/>
  <c r="AF75" i="12"/>
  <c r="AD75" i="12"/>
  <c r="C75" i="12"/>
  <c r="AO75" i="12"/>
  <c r="AP75" i="12"/>
  <c r="Z75" i="12"/>
  <c r="N75" i="12" s="1"/>
  <c r="B75" i="12"/>
  <c r="AK75" i="12"/>
  <c r="E75" i="12"/>
  <c r="AM75" i="12"/>
  <c r="K75" i="12"/>
  <c r="D75" i="12"/>
  <c r="AG75" i="12"/>
  <c r="J75" i="12"/>
  <c r="AE75" i="12"/>
  <c r="AN75" i="12"/>
  <c r="AH75" i="12"/>
  <c r="V75" i="12" s="1"/>
  <c r="AQ75" i="12"/>
  <c r="Y75" i="12"/>
  <c r="I75" i="12"/>
  <c r="L75" i="12"/>
  <c r="AA75" i="12"/>
  <c r="W74" i="12"/>
  <c r="A76" i="12" a="1"/>
  <c r="R75" i="12" l="1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V76" i="12" s="1"/>
  <c r="AE76" i="12"/>
  <c r="Y76" i="12"/>
  <c r="K76" i="12"/>
  <c r="AR76" i="12"/>
  <c r="AF76" i="12"/>
  <c r="T76" i="12" s="1"/>
  <c r="Z76" i="12"/>
  <c r="A77" i="12" a="1"/>
  <c r="N76" i="12" l="1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U77" i="12" s="1"/>
  <c r="E77" i="12"/>
  <c r="D77" i="12"/>
  <c r="AF77" i="12"/>
  <c r="AO77" i="12"/>
  <c r="B77" i="12"/>
  <c r="A78" i="12" a="1"/>
  <c r="R77" i="12" l="1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P80" i="12" s="1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S81" i="12" s="1"/>
  <c r="A82" i="12" a="1"/>
  <c r="Q81" i="12" l="1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T82" i="12" s="1"/>
  <c r="AM82" i="12"/>
  <c r="A83" i="12" a="1"/>
  <c r="O82" i="12" l="1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T84" i="12" s="1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P84" i="12" l="1"/>
  <c r="Q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T86" i="12" s="1"/>
  <c r="AP86" i="12"/>
  <c r="K86" i="12"/>
  <c r="AQ86" i="12"/>
  <c r="B86" i="12"/>
  <c r="L86" i="12"/>
  <c r="AH86" i="12"/>
  <c r="I86" i="12"/>
  <c r="AA86" i="12"/>
  <c r="A87" i="12" a="1"/>
  <c r="P86" i="12" l="1"/>
  <c r="AU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N87" i="12" s="1"/>
  <c r="AC87" i="12"/>
  <c r="Q87" i="12" s="1"/>
  <c r="Y87" i="12"/>
  <c r="AS87" i="12"/>
  <c r="AM87" i="12"/>
  <c r="AF87" i="12"/>
  <c r="AO87" i="12"/>
  <c r="AD87" i="12"/>
  <c r="C87" i="12"/>
  <c r="A88" i="12" a="1"/>
  <c r="S87" i="12" l="1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P88" i="12" s="1"/>
  <c r="D88" i="12"/>
  <c r="Z88" i="12"/>
  <c r="AA88" i="12"/>
  <c r="O88" i="12" s="1"/>
  <c r="AE88" i="12"/>
  <c r="AR88" i="12"/>
  <c r="A89" i="12" a="1"/>
  <c r="N88" i="12" l="1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T89" i="12" s="1"/>
  <c r="C89" i="12"/>
  <c r="AL89" i="12"/>
  <c r="AK89" i="12"/>
  <c r="AR89" i="12"/>
  <c r="AP89" i="12"/>
  <c r="AH89" i="12"/>
  <c r="AT89" i="12"/>
  <c r="D89" i="12"/>
  <c r="AD89" i="12"/>
  <c r="R89" i="12" s="1"/>
  <c r="Y89" i="12"/>
  <c r="AO89" i="12"/>
  <c r="E89" i="12"/>
  <c r="J89" i="12"/>
  <c r="AN89" i="12"/>
  <c r="L89" i="12"/>
  <c r="Z89" i="12"/>
  <c r="B89" i="12"/>
  <c r="AA89" i="12"/>
  <c r="AS89" i="12"/>
  <c r="AE89" i="12"/>
  <c r="S89" i="12" s="1"/>
  <c r="K89" i="12"/>
  <c r="AC89" i="12"/>
  <c r="AM89" i="12"/>
  <c r="A90" i="12" a="1"/>
  <c r="P89" i="12" l="1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U90" i="12" l="1"/>
  <c r="N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V94" i="12" s="1"/>
  <c r="AD94" i="12"/>
  <c r="A95" i="12" a="1"/>
  <c r="U94" i="12" l="1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P95" i="12" s="1"/>
  <c r="I95" i="12"/>
  <c r="AE95" i="12"/>
  <c r="AG95" i="12"/>
  <c r="AF95" i="12"/>
  <c r="D95" i="12"/>
  <c r="AA95" i="12"/>
  <c r="AP95" i="12"/>
  <c r="A96" i="12" a="1"/>
  <c r="O95" i="12" l="1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P96" i="12" s="1"/>
  <c r="AS96" i="12"/>
  <c r="Y96" i="12"/>
  <c r="AT96" i="12"/>
  <c r="AM96" i="12"/>
  <c r="Z96" i="12"/>
  <c r="J96" i="12"/>
  <c r="AQ96" i="12"/>
  <c r="AR96" i="12"/>
  <c r="K96" i="12"/>
  <c r="A97" i="12" a="1"/>
  <c r="Q96" i="12" l="1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U97" i="12" s="1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V97" i="12" s="1"/>
  <c r="AC97" i="12"/>
  <c r="AT97" i="12"/>
  <c r="AS97" i="12"/>
  <c r="AD97" i="12"/>
  <c r="J97" i="12"/>
  <c r="A98" i="12" a="1"/>
  <c r="N97" i="12" l="1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O98" i="12" s="1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Q98" i="12" l="1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U99" i="12" s="1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S99" i="12" l="1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Q100" i="12" l="1"/>
  <c r="O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U101" i="12" s="1"/>
  <c r="D101" i="12"/>
  <c r="C101" i="12"/>
  <c r="E101" i="12"/>
  <c r="AR101" i="12"/>
  <c r="AF101" i="12"/>
  <c r="AB101" i="12"/>
  <c r="K101" i="12"/>
  <c r="Y101" i="12"/>
  <c r="AL101" i="12"/>
  <c r="AH101" i="12"/>
  <c r="V101" i="12" s="1"/>
  <c r="AD101" i="12"/>
  <c r="R101" i="12" s="1"/>
  <c r="AA101" i="12"/>
  <c r="Z101" i="12"/>
  <c r="J101" i="12"/>
  <c r="AN101" i="12"/>
  <c r="A102" i="12" a="1"/>
  <c r="T101" i="12" l="1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N102" i="12" s="1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N103" i="12" s="1"/>
  <c r="AB103" i="12"/>
  <c r="P103" i="12" s="1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T103" i="12" l="1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Q105" i="12" s="1"/>
  <c r="AK105" i="12"/>
  <c r="AB105" i="12"/>
  <c r="AH105" i="12"/>
  <c r="AA105" i="12"/>
  <c r="AQ105" i="12"/>
  <c r="AD105" i="12"/>
  <c r="K105" i="12"/>
  <c r="AP105" i="12"/>
  <c r="AE105" i="12"/>
  <c r="S105" i="12" s="1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U105" i="12" s="1"/>
  <c r="A106" i="12" a="1"/>
  <c r="N105" i="12" l="1"/>
  <c r="P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R106" i="12" s="1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S107" i="12" s="1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N107" i="12" l="1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U108" i="12" s="1"/>
  <c r="AB108" i="12"/>
  <c r="AP108" i="12"/>
  <c r="AC108" i="12"/>
  <c r="Q108" i="12" s="1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O108" i="12" s="1"/>
  <c r="A109" i="12" a="1"/>
  <c r="P108" i="12" l="1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Q109" i="12" l="1"/>
  <c r="T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R110" i="12" s="1"/>
  <c r="Y110" i="12"/>
  <c r="J110" i="12"/>
  <c r="AC110" i="12"/>
  <c r="L110" i="12"/>
  <c r="AR110" i="12"/>
  <c r="A111" i="12" a="1"/>
  <c r="O110" i="12" l="1"/>
  <c r="N110" i="12"/>
  <c r="P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S111" i="12" s="1"/>
  <c r="A112" i="12" a="1"/>
  <c r="V111" i="12" l="1"/>
  <c r="U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P113" i="12" s="1"/>
  <c r="K113" i="12"/>
  <c r="E113" i="12"/>
  <c r="AF113" i="12"/>
  <c r="D113" i="12"/>
  <c r="C113" i="12"/>
  <c r="AA113" i="12"/>
  <c r="AT113" i="12"/>
  <c r="AO113" i="12"/>
  <c r="A114" i="12" a="1"/>
  <c r="T113" i="12" l="1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O114" i="12" s="1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P114" i="12" l="1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S115" i="12" s="1"/>
  <c r="Y115" i="12"/>
  <c r="AC115" i="12"/>
  <c r="Q115" i="12" s="1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R115" i="12" l="1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N116" i="12" s="1"/>
  <c r="D116" i="12"/>
  <c r="B116" i="12"/>
  <c r="AE116" i="12"/>
  <c r="AH116" i="12"/>
  <c r="J116" i="12"/>
  <c r="E116" i="12"/>
  <c r="AS116" i="12"/>
  <c r="AC116" i="12"/>
  <c r="A117" i="12" a="1"/>
  <c r="T116" i="12" l="1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Q117" i="12" s="1"/>
  <c r="AG117" i="12"/>
  <c r="AR117" i="12"/>
  <c r="E117" i="12"/>
  <c r="B117" i="12"/>
  <c r="AF117" i="12"/>
  <c r="AM117" i="12"/>
  <c r="Y117" i="12"/>
  <c r="AQ117" i="12"/>
  <c r="L117" i="12"/>
  <c r="AK117" i="12"/>
  <c r="Z117" i="12"/>
  <c r="N117" i="12" s="1"/>
  <c r="AT117" i="12"/>
  <c r="AA117" i="12"/>
  <c r="C117" i="12"/>
  <c r="J117" i="12"/>
  <c r="AS117" i="12"/>
  <c r="D117" i="12"/>
  <c r="AP117" i="12"/>
  <c r="AN117" i="12"/>
  <c r="AH117" i="12"/>
  <c r="V117" i="12" s="1"/>
  <c r="AO117" i="12"/>
  <c r="I117" i="12"/>
  <c r="AB117" i="12"/>
  <c r="AE117" i="12"/>
  <c r="A118" i="12" a="1"/>
  <c r="S117" i="12" l="1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S118" i="12" s="1"/>
  <c r="L118" i="12"/>
  <c r="AF118" i="12"/>
  <c r="AC118" i="12"/>
  <c r="AL118" i="12"/>
  <c r="B118" i="12"/>
  <c r="AD118" i="12"/>
  <c r="R118" i="12" s="1"/>
  <c r="AT118" i="12"/>
  <c r="Y118" i="12"/>
  <c r="AM118" i="12"/>
  <c r="I118" i="12"/>
  <c r="AB118" i="12"/>
  <c r="AP118" i="12"/>
  <c r="AG118" i="12"/>
  <c r="C118" i="12"/>
  <c r="AR118" i="12"/>
  <c r="A119" i="12" a="1"/>
  <c r="P118" i="12" l="1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S119" i="12" s="1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U120" i="12" s="1"/>
  <c r="AE120" i="12"/>
  <c r="J120" i="12"/>
  <c r="AL120" i="12"/>
  <c r="AC120" i="12"/>
  <c r="AS120" i="12"/>
  <c r="K120" i="12"/>
  <c r="Z120" i="12"/>
  <c r="AH120" i="12"/>
  <c r="V120" i="12" s="1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T120" i="12" l="1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Q121" i="12" l="1"/>
  <c r="N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Q122" i="12" s="1"/>
  <c r="AG122" i="12"/>
  <c r="AT122" i="12"/>
  <c r="AH122" i="12"/>
  <c r="J122" i="12"/>
  <c r="AS122" i="12"/>
  <c r="A123" i="12" a="1"/>
  <c r="O122" i="12" l="1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V123" i="12" s="1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P123" i="12" l="1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R124" i="12" s="1"/>
  <c r="AE124" i="12"/>
  <c r="L124" i="12"/>
  <c r="AL124" i="12"/>
  <c r="AG124" i="12"/>
  <c r="AN124" i="12"/>
  <c r="A125" i="12" a="1"/>
  <c r="S124" i="12" l="1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U126" i="12" s="1"/>
  <c r="AF126" i="12"/>
  <c r="T126" i="12" s="1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N126" i="12" s="1"/>
  <c r="D126" i="12"/>
  <c r="A127" i="12" a="1"/>
  <c r="R126" i="12" l="1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R127" i="12" s="1"/>
  <c r="AL127" i="12"/>
  <c r="AF127" i="12"/>
  <c r="AQ127" i="12"/>
  <c r="AE127" i="12"/>
  <c r="AR127" i="12"/>
  <c r="B127" i="12"/>
  <c r="A128" i="12" a="1"/>
  <c r="U127" i="12" l="1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S129" i="12" s="1"/>
  <c r="AH129" i="12"/>
  <c r="AB129" i="12"/>
  <c r="P129" i="12" s="1"/>
  <c r="AF129" i="12"/>
  <c r="AL129" i="12"/>
  <c r="AA129" i="12"/>
  <c r="B129" i="12"/>
  <c r="AN129" i="12"/>
  <c r="L129" i="12"/>
  <c r="AS129" i="12"/>
  <c r="Y129" i="12"/>
  <c r="A130" i="12" a="1"/>
  <c r="T129" i="12" l="1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P131" i="12" s="1"/>
  <c r="D131" i="12"/>
  <c r="AQ131" i="12"/>
  <c r="Y131" i="12"/>
  <c r="E131" i="12"/>
  <c r="I131" i="12"/>
  <c r="C131" i="12"/>
  <c r="AF131" i="12"/>
  <c r="AE131" i="12"/>
  <c r="A132" i="12" a="1"/>
  <c r="U131" i="12" l="1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R133" i="12" s="1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V133" i="12" s="1"/>
  <c r="L133" i="12"/>
  <c r="AP133" i="12"/>
  <c r="AN133" i="12"/>
  <c r="AF133" i="12"/>
  <c r="AS133" i="12"/>
  <c r="A134" i="12" a="1"/>
  <c r="P133" i="12" l="1"/>
  <c r="N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S134" i="12" s="1"/>
  <c r="AB134" i="12"/>
  <c r="P134" i="12" s="1"/>
  <c r="AL134" i="12"/>
  <c r="AS134" i="12"/>
  <c r="L134" i="12"/>
  <c r="E134" i="12"/>
  <c r="AK134" i="12"/>
  <c r="AN134" i="12"/>
  <c r="I134" i="12"/>
  <c r="Z134" i="12"/>
  <c r="D134" i="12"/>
  <c r="AH134" i="12"/>
  <c r="V134" i="12" s="1"/>
  <c r="J134" i="12"/>
  <c r="B134" i="12"/>
  <c r="AO134" i="12"/>
  <c r="AP134" i="12"/>
  <c r="AM134" i="12"/>
  <c r="AG134" i="12"/>
  <c r="A135" i="12" a="1"/>
  <c r="R134" i="12" l="1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P136" i="12" s="1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R137" i="12" s="1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O137" i="12" s="1"/>
  <c r="I137" i="12"/>
  <c r="C137" i="12"/>
  <c r="AT137" i="12"/>
  <c r="A138" i="12" a="1"/>
  <c r="P137" i="12" l="1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S138" i="12" s="1"/>
  <c r="AF138" i="12"/>
  <c r="AO138" i="12"/>
  <c r="AG138" i="12"/>
  <c r="AA138" i="12"/>
  <c r="O138" i="12" s="1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AU138" i="12" l="1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Q139" i="12" s="1"/>
  <c r="K139" i="12"/>
  <c r="AD139" i="12"/>
  <c r="Y139" i="12"/>
  <c r="AB139" i="12"/>
  <c r="I139" i="12"/>
  <c r="A140" i="12" a="1"/>
  <c r="O139" i="12" l="1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Q140" i="12" s="1"/>
  <c r="K140" i="12"/>
  <c r="AB140" i="12"/>
  <c r="D140" i="12"/>
  <c r="Z140" i="12"/>
  <c r="AF140" i="12"/>
  <c r="AK140" i="12"/>
  <c r="A141" i="12" a="1"/>
  <c r="V140" i="12" l="1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Q141" i="12" s="1"/>
  <c r="K141" i="12"/>
  <c r="L141" i="12"/>
  <c r="AR141" i="12"/>
  <c r="AH141" i="12"/>
  <c r="J141" i="12"/>
  <c r="AO141" i="12"/>
  <c r="AT141" i="12"/>
  <c r="AE141" i="12"/>
  <c r="S141" i="12" s="1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P141" i="12" l="1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N142" i="12" s="1"/>
  <c r="AK142" i="12"/>
  <c r="AQ142" i="12"/>
  <c r="AM142" i="12"/>
  <c r="E142" i="12"/>
  <c r="AF142" i="12"/>
  <c r="I142" i="12"/>
  <c r="AN142" i="12"/>
  <c r="Y142" i="12"/>
  <c r="AG142" i="12"/>
  <c r="A143" i="12" a="1"/>
  <c r="V142" i="12" l="1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P145" i="12" s="1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T145" i="12" l="1"/>
  <c r="Q145" i="12"/>
  <c r="O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Q146" i="12" s="1"/>
  <c r="L146" i="12"/>
  <c r="AD146" i="12"/>
  <c r="R146" i="12" s="1"/>
  <c r="AH146" i="12"/>
  <c r="AT146" i="12"/>
  <c r="AQ146" i="12"/>
  <c r="AR146" i="12"/>
  <c r="B146" i="12"/>
  <c r="A147" i="12" a="1"/>
  <c r="N146" i="12" l="1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N147" i="12" s="1"/>
  <c r="A148" i="12" a="1"/>
  <c r="P147" i="12" l="1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R148" i="12" s="1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T148" i="12" l="1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O150" i="12" s="1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T151" i="12" s="1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O151" i="12" s="1"/>
  <c r="AK151" i="12"/>
  <c r="AG151" i="12"/>
  <c r="I151" i="12"/>
  <c r="L151" i="12"/>
  <c r="AT151" i="12"/>
  <c r="D151" i="12"/>
  <c r="A152" i="12" a="1"/>
  <c r="N151" i="12" l="1"/>
  <c r="AU151" i="12"/>
  <c r="U151" i="12"/>
  <c r="P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Q152" i="12" s="1"/>
  <c r="AE152" i="12"/>
  <c r="S152" i="12" s="1"/>
  <c r="D152" i="12"/>
  <c r="AT152" i="12"/>
  <c r="AQ152" i="12"/>
  <c r="K152" i="12"/>
  <c r="B152" i="12"/>
  <c r="Z152" i="12"/>
  <c r="AM152" i="12"/>
  <c r="AG152" i="12"/>
  <c r="U152" i="12" s="1"/>
  <c r="L152" i="12"/>
  <c r="AR152" i="12"/>
  <c r="AL152" i="12"/>
  <c r="AS152" i="12"/>
  <c r="AO152" i="12"/>
  <c r="Y152" i="12"/>
  <c r="A153" i="12" a="1"/>
  <c r="N152" i="12" l="1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N153" i="12" s="1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O153" i="12" l="1"/>
  <c r="P153" i="12"/>
  <c r="T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R155" i="12" l="1"/>
  <c r="U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V157" i="12" s="1"/>
  <c r="AB157" i="12"/>
  <c r="P157" i="12" s="1"/>
  <c r="AG157" i="12"/>
  <c r="U157" i="12" s="1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O157" i="12" l="1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S158" i="12" s="1"/>
  <c r="K158" i="12"/>
  <c r="AB158" i="12"/>
  <c r="AP158" i="12"/>
  <c r="AQ158" i="12"/>
  <c r="AK158" i="12"/>
  <c r="Z158" i="12"/>
  <c r="AN158" i="12"/>
  <c r="AD158" i="12"/>
  <c r="R158" i="12" s="1"/>
  <c r="D158" i="12"/>
  <c r="AG158" i="12"/>
  <c r="AH158" i="12"/>
  <c r="J158" i="12"/>
  <c r="AM158" i="12"/>
  <c r="C158" i="12"/>
  <c r="A159" i="12" a="1"/>
  <c r="A159" i="12" l="1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R161" i="12" s="1"/>
  <c r="C161" i="12"/>
  <c r="AH161" i="12"/>
  <c r="AG161" i="12"/>
  <c r="U161" i="12" s="1"/>
  <c r="AT161" i="12"/>
  <c r="AL161" i="12"/>
  <c r="AS161" i="12"/>
  <c r="B161" i="12"/>
  <c r="AK161" i="12"/>
  <c r="AR161" i="12"/>
  <c r="A162" i="12" a="1"/>
  <c r="P161" i="12" l="1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P162" i="12" s="1"/>
  <c r="AP162" i="12"/>
  <c r="AD162" i="12"/>
  <c r="K162" i="12"/>
  <c r="C162" i="12"/>
  <c r="AN162" i="12"/>
  <c r="AS162" i="12"/>
  <c r="E162" i="12"/>
  <c r="AL162" i="12"/>
  <c r="B162" i="12"/>
  <c r="AE162" i="12"/>
  <c r="AF162" i="12"/>
  <c r="T162" i="12" s="1"/>
  <c r="AK162" i="12"/>
  <c r="I162" i="12"/>
  <c r="AT162" i="12"/>
  <c r="J162" i="12"/>
  <c r="Z162" i="12"/>
  <c r="AM162" i="12"/>
  <c r="L162" i="12"/>
  <c r="AG162" i="12"/>
  <c r="U162" i="12" s="1"/>
  <c r="AC162" i="12"/>
  <c r="AO162" i="12"/>
  <c r="AA162" i="12"/>
  <c r="D162" i="12"/>
  <c r="AQ162" i="12"/>
  <c r="A163" i="12" a="1"/>
  <c r="S162" i="12" l="1"/>
  <c r="Q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P163" i="12" s="1"/>
  <c r="AS163" i="12"/>
  <c r="Z163" i="12"/>
  <c r="N163" i="12" s="1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V163" i="12" l="1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R164" i="12" s="1"/>
  <c r="AQ164" i="12"/>
  <c r="K164" i="12"/>
  <c r="AE164" i="12"/>
  <c r="Y164" i="12"/>
  <c r="AF164" i="12"/>
  <c r="J164" i="12"/>
  <c r="AA164" i="12"/>
  <c r="O164" i="12" s="1"/>
  <c r="L164" i="12"/>
  <c r="AN164" i="12"/>
  <c r="AL164" i="12"/>
  <c r="AS164" i="12"/>
  <c r="Z164" i="12"/>
  <c r="C164" i="12"/>
  <c r="AK164" i="12"/>
  <c r="AO164" i="12"/>
  <c r="AC164" i="12"/>
  <c r="Q164" i="12" s="1"/>
  <c r="A165" i="12" a="1"/>
  <c r="T164" i="12" l="1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U165" i="12" s="1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P166" i="12" s="1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R166" i="12" l="1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O167" i="12" s="1"/>
  <c r="AP167" i="12"/>
  <c r="E167" i="12"/>
  <c r="C167" i="12"/>
  <c r="AD167" i="12"/>
  <c r="AB167" i="12"/>
  <c r="P167" i="12" s="1"/>
  <c r="A168" i="12" a="1"/>
  <c r="N167" i="12" l="1"/>
  <c r="S167" i="12"/>
  <c r="R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O168" i="12" s="1"/>
  <c r="AQ168" i="12"/>
  <c r="C168" i="12"/>
  <c r="AF168" i="12"/>
  <c r="AE168" i="12"/>
  <c r="K168" i="12"/>
  <c r="AT168" i="12"/>
  <c r="AM168" i="12"/>
  <c r="AB168" i="12"/>
  <c r="P168" i="12" s="1"/>
  <c r="AG168" i="12"/>
  <c r="U168" i="12" s="1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T168" i="12" l="1"/>
  <c r="Q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N170" i="12" s="1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T170" i="12" l="1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R171" i="12" s="1"/>
  <c r="AT171" i="12"/>
  <c r="AC171" i="12"/>
  <c r="AA171" i="12"/>
  <c r="Z171" i="12"/>
  <c r="AH171" i="12"/>
  <c r="AQ171" i="12"/>
  <c r="AN171" i="12"/>
  <c r="A172" i="12" a="1"/>
  <c r="Q171" i="12" l="1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T173" i="12" s="1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R173" i="12" l="1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P174" i="12" s="1"/>
  <c r="E174" i="12"/>
  <c r="AE174" i="12"/>
  <c r="AK174" i="12"/>
  <c r="AQ174" i="12"/>
  <c r="AM174" i="12"/>
  <c r="B174" i="12"/>
  <c r="AC174" i="12"/>
  <c r="Q174" i="12" s="1"/>
  <c r="A175" i="12" a="1"/>
  <c r="S174" i="12" l="1"/>
  <c r="O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Q175" i="12" s="1"/>
  <c r="AQ175" i="12"/>
  <c r="AL175" i="12"/>
  <c r="AB175" i="12"/>
  <c r="B175" i="12"/>
  <c r="Y175" i="12"/>
  <c r="AF175" i="12"/>
  <c r="T175" i="12" s="1"/>
  <c r="AK175" i="12"/>
  <c r="AD175" i="12"/>
  <c r="D175" i="12"/>
  <c r="AN175" i="12"/>
  <c r="AR175" i="12"/>
  <c r="E175" i="12"/>
  <c r="Z175" i="12"/>
  <c r="N175" i="12" s="1"/>
  <c r="A176" i="12" a="1"/>
  <c r="U175" i="12" l="1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R176" i="12" s="1"/>
  <c r="AL176" i="12"/>
  <c r="AB176" i="12"/>
  <c r="L176" i="12"/>
  <c r="AK176" i="12"/>
  <c r="AG176" i="12"/>
  <c r="AC176" i="12"/>
  <c r="AF176" i="12"/>
  <c r="A177" i="12" a="1"/>
  <c r="P176" i="12" l="1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R177" i="12" s="1"/>
  <c r="C177" i="12"/>
  <c r="K177" i="12"/>
  <c r="AR177" i="12"/>
  <c r="AK177" i="12"/>
  <c r="L177" i="12"/>
  <c r="Z177" i="12"/>
  <c r="AG177" i="12"/>
  <c r="AH177" i="12"/>
  <c r="V177" i="12" s="1"/>
  <c r="A178" i="12" a="1"/>
  <c r="Q177" i="12" l="1"/>
  <c r="N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Q178" i="12" s="1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V179" i="12" s="1"/>
  <c r="AS179" i="12"/>
  <c r="A180" i="12" a="1"/>
  <c r="N179" i="12" l="1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Q180" i="12" l="1"/>
  <c r="S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P183" i="12" s="1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O183" i="12" s="1"/>
  <c r="A184" i="12" a="1"/>
  <c r="Q183" i="12" l="1"/>
  <c r="T183" i="12"/>
  <c r="AU183" i="12"/>
  <c r="V183" i="12"/>
  <c r="N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T184" i="12" l="1"/>
  <c r="R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Q185" i="12" s="1"/>
  <c r="J185" i="12"/>
  <c r="AD185" i="12"/>
  <c r="AP185" i="12"/>
  <c r="AT185" i="12"/>
  <c r="AL185" i="12"/>
  <c r="AH185" i="12"/>
  <c r="D185" i="12"/>
  <c r="AK185" i="12"/>
  <c r="Z185" i="12"/>
  <c r="N185" i="12" s="1"/>
  <c r="C185" i="12"/>
  <c r="K185" i="12"/>
  <c r="AA185" i="12"/>
  <c r="AE185" i="12"/>
  <c r="E185" i="12"/>
  <c r="AS185" i="12"/>
  <c r="A186" i="12" a="1"/>
  <c r="R185" i="12" l="1"/>
  <c r="P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V186" i="12" s="1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O186" i="12" s="1"/>
  <c r="A187" i="12" a="1"/>
  <c r="P186" i="12" l="1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R187" i="12" s="1"/>
  <c r="A188" i="12" a="1"/>
  <c r="V187" i="12" l="1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P188" i="12" s="1"/>
  <c r="AM188" i="12"/>
  <c r="AT188" i="12"/>
  <c r="I188" i="12"/>
  <c r="D188" i="12"/>
  <c r="AP188" i="12"/>
  <c r="AN188" i="12"/>
  <c r="C188" i="12"/>
  <c r="B188" i="12"/>
  <c r="A189" i="12" a="1"/>
  <c r="T188" i="12" l="1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R189" i="12" s="1"/>
  <c r="AS189" i="12"/>
  <c r="C189" i="12"/>
  <c r="D189" i="12"/>
  <c r="AE189" i="12"/>
  <c r="S189" i="12" s="1"/>
  <c r="AA189" i="12"/>
  <c r="AR189" i="12"/>
  <c r="AC189" i="12"/>
  <c r="AK189" i="12"/>
  <c r="AB189" i="12"/>
  <c r="P189" i="12" s="1"/>
  <c r="B189" i="12"/>
  <c r="A190" i="12" a="1"/>
  <c r="O189" i="12" l="1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N190" i="12" s="1"/>
  <c r="AE190" i="12"/>
  <c r="S190" i="12" s="1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P190" i="12" l="1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Q191" i="12" s="1"/>
  <c r="AT191" i="12"/>
  <c r="AM191" i="12"/>
  <c r="I191" i="12"/>
  <c r="B191" i="12"/>
  <c r="AK191" i="12"/>
  <c r="AQ191" i="12"/>
  <c r="AG191" i="12"/>
  <c r="Z191" i="12"/>
  <c r="N191" i="12" s="1"/>
  <c r="A192" i="12" a="1"/>
  <c r="P191" i="12" l="1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P192" i="12" s="1"/>
  <c r="D192" i="12"/>
  <c r="AE192" i="12"/>
  <c r="S192" i="12" s="1"/>
  <c r="I192" i="12"/>
  <c r="AQ192" i="12"/>
  <c r="AA192" i="12"/>
  <c r="AT192" i="12"/>
  <c r="E192" i="12"/>
  <c r="A193" i="12" a="1"/>
  <c r="R192" i="12" l="1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U195" i="12" s="1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S195" i="12" s="1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R196" i="12" s="1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U197" i="12" s="1"/>
  <c r="D197" i="12"/>
  <c r="AB197" i="12"/>
  <c r="AE197" i="12"/>
  <c r="B197" i="12"/>
  <c r="Z197" i="12"/>
  <c r="N197" i="12" s="1"/>
  <c r="A198" i="12" a="1"/>
  <c r="Q197" i="12" l="1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U198" i="12" s="1"/>
  <c r="E198" i="12"/>
  <c r="AK198" i="12"/>
  <c r="J198" i="12"/>
  <c r="D198" i="12"/>
  <c r="AS198" i="12"/>
  <c r="AP198" i="12"/>
  <c r="AO198" i="12"/>
  <c r="AN198" i="12"/>
  <c r="AL198" i="12"/>
  <c r="Y198" i="12"/>
  <c r="AH198" i="12"/>
  <c r="V198" i="12" s="1"/>
  <c r="AM198" i="12"/>
  <c r="AR198" i="12"/>
  <c r="AF198" i="12"/>
  <c r="I198" i="12"/>
  <c r="L198" i="12"/>
  <c r="A199" i="12" a="1"/>
  <c r="S198" i="12" l="1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R199" i="12" s="1"/>
  <c r="Y199" i="12"/>
  <c r="AT199" i="12"/>
  <c r="AQ199" i="12"/>
  <c r="C199" i="12"/>
  <c r="L199" i="12"/>
  <c r="D199" i="12"/>
  <c r="E199" i="12"/>
  <c r="AS199" i="12"/>
  <c r="AL199" i="12"/>
  <c r="AR199" i="12"/>
  <c r="AA199" i="12"/>
  <c r="O199" i="12" s="1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N199" i="12" l="1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R200" i="12" s="1"/>
  <c r="AQ200" i="12"/>
  <c r="AB200" i="12"/>
  <c r="B200" i="12"/>
  <c r="K200" i="12"/>
  <c r="E200" i="12"/>
  <c r="AS200" i="12"/>
  <c r="Y200" i="12"/>
  <c r="AN200" i="12"/>
  <c r="AA200" i="12"/>
  <c r="AP200" i="12"/>
  <c r="Z200" i="12"/>
  <c r="N200" i="12" s="1"/>
  <c r="AG200" i="12"/>
  <c r="J200" i="12"/>
  <c r="D200" i="12"/>
  <c r="AT200" i="12"/>
  <c r="AC200" i="12"/>
  <c r="AH200" i="12"/>
  <c r="C200" i="12"/>
  <c r="AE200" i="12"/>
  <c r="L200" i="12"/>
  <c r="AO200" i="12"/>
  <c r="A201" i="12" a="1"/>
  <c r="S200" i="12" l="1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V201" i="12" s="1"/>
  <c r="J201" i="12"/>
  <c r="C201" i="12"/>
  <c r="B201" i="12"/>
  <c r="AO201" i="12"/>
  <c r="D201" i="12"/>
  <c r="AQ201" i="12"/>
  <c r="AM201" i="12"/>
  <c r="AE201" i="12"/>
  <c r="S201" i="12" s="1"/>
  <c r="A202" i="12" a="1"/>
  <c r="O201" i="12" l="1"/>
  <c r="T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Q202" i="12" s="1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N202" i="12" l="1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R203" i="12" s="1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U203" i="12" l="1"/>
  <c r="P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R204" i="12" s="1"/>
  <c r="D204" i="12"/>
  <c r="AB204" i="12"/>
  <c r="P204" i="12" s="1"/>
  <c r="E204" i="12"/>
  <c r="AN204" i="12"/>
  <c r="AT204" i="12"/>
  <c r="Y204" i="12"/>
  <c r="Z204" i="12"/>
  <c r="A205" i="12" a="1"/>
  <c r="N204" i="12" l="1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N205" i="12" s="1"/>
  <c r="AM205" i="12"/>
  <c r="AD205" i="12"/>
  <c r="R205" i="12" s="1"/>
  <c r="A206" i="12" a="1"/>
  <c r="O205" i="12" l="1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U206" i="12" l="1"/>
  <c r="N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S207" i="12" s="1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Q207" i="12" l="1"/>
  <c r="R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U208" i="12" s="1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O208" i="12" s="1"/>
  <c r="AT208" i="12"/>
  <c r="A209" i="12" a="1"/>
  <c r="R208" i="12" l="1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V209" i="12" s="1"/>
  <c r="A210" i="12" a="1"/>
  <c r="Q209" i="12" l="1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T210" i="12" s="1"/>
  <c r="A211" i="12" a="1"/>
  <c r="Q210" i="12" l="1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R211" i="12" s="1"/>
  <c r="AL211" i="12"/>
  <c r="AS211" i="12"/>
  <c r="L211" i="12"/>
  <c r="D211" i="12"/>
  <c r="AM211" i="12"/>
  <c r="Z211" i="12"/>
  <c r="K211" i="12"/>
  <c r="AB211" i="12"/>
  <c r="P211" i="12" s="1"/>
  <c r="AR211" i="12"/>
  <c r="AC211" i="12"/>
  <c r="Q211" i="12" s="1"/>
  <c r="Y211" i="12"/>
  <c r="AP211" i="12"/>
  <c r="E211" i="12"/>
  <c r="I211" i="12"/>
  <c r="AH211" i="12"/>
  <c r="V211" i="12" s="1"/>
  <c r="A212" i="12" a="1"/>
  <c r="O211" i="12" l="1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N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N213" i="12" s="1"/>
  <c r="D213" i="12"/>
  <c r="K213" i="12"/>
  <c r="AR213" i="12"/>
  <c r="AO213" i="12"/>
  <c r="AL213" i="12"/>
  <c r="Y213" i="12"/>
  <c r="AT213" i="12"/>
  <c r="AH213" i="12"/>
  <c r="V213" i="12" s="1"/>
  <c r="AF213" i="12"/>
  <c r="AP213" i="12"/>
  <c r="AC213" i="12"/>
  <c r="Q213" i="12" s="1"/>
  <c r="J213" i="12"/>
  <c r="AM213" i="12"/>
  <c r="AN213" i="12"/>
  <c r="AS213" i="12"/>
  <c r="AG213" i="12"/>
  <c r="U213" i="12" s="1"/>
  <c r="I213" i="12"/>
  <c r="AD213" i="12"/>
  <c r="E213" i="12"/>
  <c r="AE213" i="12"/>
  <c r="L213" i="12"/>
  <c r="AB213" i="12"/>
  <c r="AA213" i="12"/>
  <c r="O213" i="12" s="1"/>
  <c r="C213" i="12"/>
  <c r="A214" i="12" a="1"/>
  <c r="P213" i="12" l="1"/>
  <c r="R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O215" i="12" s="1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T215" i="12" s="1"/>
  <c r="AE215" i="12"/>
  <c r="A216" i="12" a="1"/>
  <c r="Q215" i="12" l="1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R216" i="12" s="1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O216" i="12" l="1"/>
  <c r="V216" i="12"/>
  <c r="N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Q217" i="12" l="1"/>
  <c r="P217" i="12"/>
  <c r="N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U218" i="12" s="1"/>
  <c r="Y218" i="12"/>
  <c r="J218" i="12"/>
  <c r="AL218" i="12"/>
  <c r="L218" i="12"/>
  <c r="K218" i="12"/>
  <c r="AQ218" i="12"/>
  <c r="AA218" i="12"/>
  <c r="A219" i="12" a="1"/>
  <c r="T218" i="12" l="1"/>
  <c r="S218" i="12"/>
  <c r="V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Q220" i="12" s="1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O220" i="12" s="1"/>
  <c r="Z220" i="12"/>
  <c r="N220" i="12" s="1"/>
  <c r="Y220" i="12"/>
  <c r="I220" i="12"/>
  <c r="AR220" i="12"/>
  <c r="AM220" i="12"/>
  <c r="AH220" i="12"/>
  <c r="L220" i="12"/>
  <c r="AQ220" i="12"/>
  <c r="A221" i="12" a="1"/>
  <c r="A221" i="12" l="1"/>
  <c r="U220" i="12"/>
  <c r="H220" i="12"/>
  <c r="G220" i="12"/>
  <c r="F220" i="12"/>
  <c r="T220" i="12"/>
  <c r="M220" i="12"/>
  <c r="W220" i="12" s="1"/>
  <c r="AI220" i="12"/>
  <c r="AU220" i="12"/>
  <c r="P220" i="12"/>
  <c r="V220" i="12"/>
  <c r="R220" i="12"/>
  <c r="S220" i="12"/>
  <c r="AA221" i="12" l="1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P222" i="12" l="1"/>
  <c r="S222" i="12"/>
  <c r="N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V223" i="12" s="1"/>
  <c r="AL223" i="12"/>
  <c r="AB223" i="12"/>
  <c r="AT223" i="12"/>
  <c r="AR223" i="12"/>
  <c r="L223" i="12"/>
  <c r="AE223" i="12"/>
  <c r="S223" i="12" s="1"/>
  <c r="K223" i="12"/>
  <c r="AA223" i="12"/>
  <c r="AP223" i="12"/>
  <c r="J223" i="12"/>
  <c r="AD223" i="12"/>
  <c r="AO223" i="12"/>
  <c r="AG223" i="12"/>
  <c r="U223" i="12" s="1"/>
  <c r="Y223" i="12"/>
  <c r="A224" i="12" a="1"/>
  <c r="O223" i="12" l="1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O224" i="12" l="1"/>
  <c r="P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O225" i="12" s="1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V225" i="12" l="1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P227" i="12" s="1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P228" i="12" s="1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O228" i="12" s="1"/>
  <c r="AF228" i="12"/>
  <c r="AQ228" i="12"/>
  <c r="AL228" i="12"/>
  <c r="AK228" i="12"/>
  <c r="AT228" i="12"/>
  <c r="AC228" i="12"/>
  <c r="Z228" i="12"/>
  <c r="A229" i="12" a="1"/>
  <c r="N228" i="12" l="1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V229" i="12" s="1"/>
  <c r="AC229" i="12"/>
  <c r="Y229" i="12"/>
  <c r="AA229" i="12"/>
  <c r="O229" i="12" s="1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P229" i="12" s="1"/>
  <c r="AQ229" i="12"/>
  <c r="I229" i="12"/>
  <c r="AO229" i="12"/>
  <c r="AD229" i="12"/>
  <c r="AL229" i="12"/>
  <c r="AR229" i="12"/>
  <c r="AE229" i="12"/>
  <c r="AS229" i="12"/>
  <c r="K229" i="12"/>
  <c r="A230" i="12" a="1"/>
  <c r="R229" i="12" l="1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R231" i="12" s="1"/>
  <c r="AL231" i="12"/>
  <c r="AS231" i="12"/>
  <c r="J231" i="12"/>
  <c r="L231" i="12"/>
  <c r="AK231" i="12"/>
  <c r="AQ231" i="12"/>
  <c r="K231" i="12"/>
  <c r="AM231" i="12"/>
  <c r="AG231" i="12"/>
  <c r="AC231" i="12"/>
  <c r="Q231" i="12" s="1"/>
  <c r="AH231" i="12"/>
  <c r="E231" i="12"/>
  <c r="AN231" i="12"/>
  <c r="AP231" i="12"/>
  <c r="AT231" i="12"/>
  <c r="AA231" i="12"/>
  <c r="D231" i="12"/>
  <c r="AE231" i="12"/>
  <c r="AF231" i="12"/>
  <c r="T231" i="12" s="1"/>
  <c r="C231" i="12"/>
  <c r="I231" i="12"/>
  <c r="Z231" i="12"/>
  <c r="AR231" i="12"/>
  <c r="B231" i="12"/>
  <c r="A232" i="12" a="1"/>
  <c r="V231" i="12" l="1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Q232" i="12" l="1"/>
  <c r="S232" i="12"/>
  <c r="N232" i="12"/>
  <c r="P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R233" i="12" s="1"/>
  <c r="AM233" i="12"/>
  <c r="AB233" i="12"/>
  <c r="E233" i="12"/>
  <c r="AN233" i="12"/>
  <c r="AE233" i="12"/>
  <c r="AT233" i="12"/>
  <c r="B233" i="12"/>
  <c r="A234" i="12" a="1"/>
  <c r="Q233" i="12" l="1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R234" i="12" s="1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Q234" i="12" s="1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V234" i="12" l="1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V235" i="12" s="1"/>
  <c r="I235" i="12"/>
  <c r="AA235" i="12"/>
  <c r="O235" i="12" s="1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N235" i="12" l="1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U236" i="12" s="1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S236" i="12" l="1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P237" i="12" l="1"/>
  <c r="T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U238" i="12" s="1"/>
  <c r="AB238" i="12"/>
  <c r="E238" i="12"/>
  <c r="AL238" i="12"/>
  <c r="AQ238" i="12"/>
  <c r="AR238" i="12"/>
  <c r="C238" i="12"/>
  <c r="Y238" i="12"/>
  <c r="AC238" i="12"/>
  <c r="Q238" i="12" s="1"/>
  <c r="AH238" i="12"/>
  <c r="K238" i="12"/>
  <c r="AE238" i="12"/>
  <c r="J238" i="12"/>
  <c r="AT238" i="12"/>
  <c r="AD238" i="12"/>
  <c r="R238" i="12" s="1"/>
  <c r="AF238" i="12"/>
  <c r="T238" i="12" s="1"/>
  <c r="A239" i="12" a="1"/>
  <c r="V238" i="12" l="1"/>
  <c r="N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U239" i="12"/>
  <c r="S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Q240" i="12" s="1"/>
  <c r="AS240" i="12"/>
  <c r="AB240" i="12"/>
  <c r="AM240" i="12"/>
  <c r="Y240" i="12"/>
  <c r="AN240" i="12"/>
  <c r="A241" i="12" a="1"/>
  <c r="O240" i="12" l="1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U241" i="12" s="1"/>
  <c r="L241" i="12"/>
  <c r="AN241" i="12"/>
  <c r="AR241" i="12"/>
  <c r="E241" i="12"/>
  <c r="AP241" i="12"/>
  <c r="I241" i="12"/>
  <c r="AT241" i="12"/>
  <c r="AQ241" i="12"/>
  <c r="AA241" i="12"/>
  <c r="O241" i="12" s="1"/>
  <c r="B241" i="12"/>
  <c r="K241" i="12"/>
  <c r="AB241" i="12"/>
  <c r="AL241" i="12"/>
  <c r="AK241" i="12"/>
  <c r="AC241" i="12"/>
  <c r="Q241" i="12" s="1"/>
  <c r="A242" i="12" a="1"/>
  <c r="R241" i="12" l="1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S242" i="12" s="1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U242" i="12" s="1"/>
  <c r="AN242" i="12"/>
  <c r="AH242" i="12"/>
  <c r="L242" i="12"/>
  <c r="E242" i="12"/>
  <c r="AO242" i="12"/>
  <c r="A243" i="12" a="1"/>
  <c r="Q242" i="12" l="1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AD243" i="12"/>
  <c r="R243" i="12" s="1"/>
  <c r="AA243" i="12"/>
  <c r="O243" i="12" s="1"/>
  <c r="B243" i="12"/>
  <c r="I243" i="12"/>
  <c r="J243" i="12"/>
  <c r="AB243" i="12"/>
  <c r="AL243" i="12"/>
  <c r="AK243" i="12"/>
  <c r="AR243" i="12"/>
  <c r="A244" i="12" a="1"/>
  <c r="S243" i="12" l="1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N245" i="12" s="1"/>
  <c r="AD245" i="12"/>
  <c r="AP245" i="12"/>
  <c r="AC245" i="12"/>
  <c r="Q245" i="12" s="1"/>
  <c r="AA245" i="12"/>
  <c r="L245" i="12"/>
  <c r="AS245" i="12"/>
  <c r="AF245" i="12"/>
  <c r="A246" i="12" a="1"/>
  <c r="V245" i="12" l="1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N246" i="12" s="1"/>
  <c r="AO246" i="12"/>
  <c r="J246" i="12"/>
  <c r="AB246" i="12"/>
  <c r="P246" i="12" s="1"/>
  <c r="AC246" i="12"/>
  <c r="AS246" i="12"/>
  <c r="AA246" i="12"/>
  <c r="A247" i="12" a="1"/>
  <c r="U246" i="12" l="1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P247" i="12" s="1"/>
  <c r="D247" i="12"/>
  <c r="AM247" i="12"/>
  <c r="Y247" i="12"/>
  <c r="AR247" i="12"/>
  <c r="I247" i="12"/>
  <c r="AA247" i="12"/>
  <c r="B247" i="12"/>
  <c r="AH247" i="12"/>
  <c r="V247" i="12" s="1"/>
  <c r="AS247" i="12"/>
  <c r="AK247" i="12"/>
  <c r="AP247" i="12"/>
  <c r="AG247" i="12"/>
  <c r="AO247" i="12"/>
  <c r="AN247" i="12"/>
  <c r="Z247" i="12"/>
  <c r="N247" i="12" s="1"/>
  <c r="A248" i="12" a="1"/>
  <c r="Q247" i="12" l="1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T249" i="12" s="1"/>
  <c r="K249" i="12"/>
  <c r="AL249" i="12"/>
  <c r="AA249" i="12"/>
  <c r="AG249" i="12"/>
  <c r="AN249" i="12"/>
  <c r="AC249" i="12"/>
  <c r="Q249" i="12" s="1"/>
  <c r="AB249" i="12"/>
  <c r="P249" i="12" s="1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R249" i="12" l="1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S250" i="12" s="1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T250" i="12" l="1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V251" i="12" s="1"/>
  <c r="AR251" i="12"/>
  <c r="B251" i="12"/>
  <c r="I251" i="12"/>
  <c r="AE251" i="12"/>
  <c r="AM251" i="12"/>
  <c r="AB251" i="12"/>
  <c r="AS251" i="12"/>
  <c r="E251" i="12"/>
  <c r="A252" i="12" a="1"/>
  <c r="AU251" i="12" l="1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U253" i="12" s="1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O253" i="12" s="1"/>
  <c r="A254" i="12" a="1"/>
  <c r="V253" i="12" l="1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U254" i="12" s="1"/>
  <c r="AK254" i="12"/>
  <c r="D254" i="12"/>
  <c r="AR254" i="12"/>
  <c r="AL254" i="12"/>
  <c r="AQ254" i="12"/>
  <c r="AC254" i="12"/>
  <c r="AT254" i="12"/>
  <c r="AO254" i="12"/>
  <c r="AA254" i="12"/>
  <c r="O254" i="12" s="1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V254" i="12" l="1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O255" i="12" s="1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P255" i="12" s="1"/>
  <c r="L255" i="12"/>
  <c r="AC255" i="12"/>
  <c r="Q255" i="12" s="1"/>
  <c r="A256" i="12" a="1"/>
  <c r="U255" i="12" l="1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S256" i="12" s="1"/>
  <c r="B256" i="12"/>
  <c r="I256" i="12"/>
  <c r="AO256" i="12"/>
  <c r="AH256" i="12"/>
  <c r="Y256" i="12"/>
  <c r="AQ256" i="12"/>
  <c r="K256" i="12"/>
  <c r="Z256" i="12"/>
  <c r="N256" i="12" s="1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O256" i="12" l="1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P257" i="12" s="1"/>
  <c r="AG257" i="12"/>
  <c r="U257" i="12" s="1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Q259" i="12" s="1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R259" i="12" s="1"/>
  <c r="AE259" i="12"/>
  <c r="A260" i="12" a="1"/>
  <c r="S259" i="12" l="1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V260" i="12" s="1"/>
  <c r="A261" i="12" a="1"/>
  <c r="P260" i="12" l="1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P261" i="12" s="1"/>
  <c r="AH261" i="12"/>
  <c r="Z261" i="12"/>
  <c r="N261" i="12" s="1"/>
  <c r="AO261" i="12"/>
  <c r="AK261" i="12"/>
  <c r="AE261" i="12"/>
  <c r="AC261" i="12"/>
  <c r="AA261" i="12"/>
  <c r="AG261" i="12"/>
  <c r="U261" i="12" s="1"/>
  <c r="B261" i="12"/>
  <c r="K261" i="12"/>
  <c r="AR261" i="12"/>
  <c r="AP261" i="12"/>
  <c r="Y261" i="12"/>
  <c r="AQ261" i="12"/>
  <c r="AF261" i="12"/>
  <c r="E261" i="12"/>
  <c r="D261" i="12"/>
  <c r="A262" i="12" a="1"/>
  <c r="O261" i="12" l="1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O262" i="12" s="1"/>
  <c r="C262" i="12"/>
  <c r="AN262" i="12"/>
  <c r="AD262" i="12"/>
  <c r="R262" i="12" s="1"/>
  <c r="I262" i="12"/>
  <c r="Z262" i="12"/>
  <c r="AR262" i="12"/>
  <c r="AC262" i="12"/>
  <c r="Q262" i="12" s="1"/>
  <c r="AH262" i="12"/>
  <c r="B262" i="12"/>
  <c r="AK262" i="12"/>
  <c r="L262" i="12"/>
  <c r="AF262" i="12"/>
  <c r="E262" i="12"/>
  <c r="AB262" i="12"/>
  <c r="A263" i="12" a="1"/>
  <c r="P262" i="12" l="1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P263" i="12" s="1"/>
  <c r="AS263" i="12"/>
  <c r="E263" i="12"/>
  <c r="AD263" i="12"/>
  <c r="R263" i="12" s="1"/>
  <c r="AR263" i="12"/>
  <c r="AE263" i="12"/>
  <c r="AG263" i="12"/>
  <c r="C263" i="12"/>
  <c r="L263" i="12"/>
  <c r="I263" i="12"/>
  <c r="AC263" i="12"/>
  <c r="AF263" i="12"/>
  <c r="A264" i="12" a="1"/>
  <c r="U263" i="12" l="1"/>
  <c r="N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V264" i="12" l="1"/>
  <c r="S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U265" i="12" s="1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S265" i="12" l="1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U266" i="12" s="1"/>
  <c r="AF266" i="12"/>
  <c r="AE266" i="12"/>
  <c r="L266" i="12"/>
  <c r="C266" i="12"/>
  <c r="AL266" i="12"/>
  <c r="AD266" i="12"/>
  <c r="R266" i="12" s="1"/>
  <c r="AQ266" i="12"/>
  <c r="AR266" i="12"/>
  <c r="AO266" i="12"/>
  <c r="Z266" i="12"/>
  <c r="N266" i="12" s="1"/>
  <c r="AB266" i="12"/>
  <c r="AP266" i="12"/>
  <c r="B266" i="12"/>
  <c r="I266" i="12"/>
  <c r="AC266" i="12"/>
  <c r="A267" i="12" a="1"/>
  <c r="T266" i="12" l="1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O267" i="12" s="1"/>
  <c r="AL267" i="12"/>
  <c r="AB267" i="12"/>
  <c r="D267" i="12"/>
  <c r="AN267" i="12"/>
  <c r="AF267" i="12"/>
  <c r="J267" i="12"/>
  <c r="AH267" i="12"/>
  <c r="AR267" i="12"/>
  <c r="Z267" i="12"/>
  <c r="A268" i="12" a="1"/>
  <c r="N267" i="12" l="1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N268" i="12" s="1"/>
  <c r="AK268" i="12"/>
  <c r="Y268" i="12"/>
  <c r="AR268" i="12"/>
  <c r="AN268" i="12"/>
  <c r="AB268" i="12"/>
  <c r="P268" i="12" s="1"/>
  <c r="AQ268" i="12"/>
  <c r="AO268" i="12"/>
  <c r="AP268" i="12"/>
  <c r="AC268" i="12"/>
  <c r="AM268" i="12"/>
  <c r="C268" i="12"/>
  <c r="AS268" i="12"/>
  <c r="L268" i="12"/>
  <c r="A269" i="12" a="1"/>
  <c r="O268" i="12" l="1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U269" i="12" s="1"/>
  <c r="A270" i="12" a="1"/>
  <c r="V269" i="12" l="1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S270" i="12" s="1"/>
  <c r="AC270" i="12"/>
  <c r="E270" i="12"/>
  <c r="Z270" i="12"/>
  <c r="N270" i="12" s="1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U270" i="12" s="1"/>
  <c r="Y270" i="12"/>
  <c r="AM270" i="12"/>
  <c r="I270" i="12"/>
  <c r="AD270" i="12"/>
  <c r="R270" i="12" s="1"/>
  <c r="A271" i="12" a="1"/>
  <c r="O270" i="12" l="1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T271" i="12" s="1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P271" i="12" s="1"/>
  <c r="C271" i="12"/>
  <c r="AO271" i="12"/>
  <c r="AD271" i="12"/>
  <c r="D271" i="12"/>
  <c r="AM271" i="12"/>
  <c r="AS271" i="12"/>
  <c r="AH271" i="12"/>
  <c r="A272" i="12" a="1"/>
  <c r="U271" i="12" l="1"/>
  <c r="V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U272" i="12" s="1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V272" i="12" l="1"/>
  <c r="Q272" i="12"/>
  <c r="R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O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T274" i="12" s="1"/>
  <c r="A275" i="12" a="1"/>
  <c r="P274" i="12" l="1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V275" i="12" s="1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U275" i="12" l="1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Q276" i="12" l="1"/>
  <c r="S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N277" i="12" l="1"/>
  <c r="V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V278" i="12" s="1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U278" i="12" s="1"/>
  <c r="D278" i="12"/>
  <c r="AB278" i="12"/>
  <c r="A279" i="12" a="1"/>
  <c r="R278" i="12" l="1"/>
  <c r="O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T279" i="12" s="1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S279" i="12" s="1"/>
  <c r="A280" i="12" a="1"/>
  <c r="N279" i="12" l="1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O280" i="12" s="1"/>
  <c r="K280" i="12"/>
  <c r="AE280" i="12"/>
  <c r="I280" i="12"/>
  <c r="AT280" i="12"/>
  <c r="AF280" i="12"/>
  <c r="AG280" i="12"/>
  <c r="L280" i="12"/>
  <c r="Y280" i="12"/>
  <c r="AN280" i="12"/>
  <c r="Z280" i="12"/>
  <c r="N280" i="12" s="1"/>
  <c r="AC280" i="12"/>
  <c r="B280" i="12"/>
  <c r="C280" i="12"/>
  <c r="AP280" i="12"/>
  <c r="AB280" i="12"/>
  <c r="AD280" i="12"/>
  <c r="R280" i="12" s="1"/>
  <c r="D280" i="12"/>
  <c r="AR280" i="12"/>
  <c r="AQ280" i="12"/>
  <c r="E280" i="12"/>
  <c r="AS280" i="12"/>
  <c r="AL280" i="12"/>
  <c r="AK280" i="12"/>
  <c r="AH280" i="12"/>
  <c r="AO280" i="12"/>
  <c r="A281" i="12" a="1"/>
  <c r="Q280" i="12" l="1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N281" i="12" s="1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O281" i="12" l="1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S282" i="12" s="1"/>
  <c r="K282" i="12"/>
  <c r="AF282" i="12"/>
  <c r="D282" i="12"/>
  <c r="AH282" i="12"/>
  <c r="Z282" i="12"/>
  <c r="AB282" i="12"/>
  <c r="E282" i="12"/>
  <c r="AD282" i="12"/>
  <c r="A283" i="12" a="1"/>
  <c r="P282" i="12" l="1"/>
  <c r="R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S283" i="12" s="1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N283" i="12" l="1"/>
  <c r="P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N284" i="12" s="1"/>
  <c r="L284" i="12"/>
  <c r="J284" i="12"/>
  <c r="AD284" i="12"/>
  <c r="R284" i="12" s="1"/>
  <c r="B284" i="12"/>
  <c r="AK284" i="12"/>
  <c r="AT284" i="12"/>
  <c r="AC284" i="12"/>
  <c r="I284" i="12"/>
  <c r="A285" i="12" a="1"/>
  <c r="V284" i="12" l="1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N285" i="12" s="1"/>
  <c r="AS285" i="12"/>
  <c r="AT285" i="12"/>
  <c r="L285" i="12"/>
  <c r="AB285" i="12"/>
  <c r="AM285" i="12"/>
  <c r="I285" i="12"/>
  <c r="K285" i="12"/>
  <c r="A286" i="12" a="1"/>
  <c r="Q285" i="12" l="1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V286" i="12" s="1"/>
  <c r="AE286" i="12"/>
  <c r="AK286" i="12"/>
  <c r="K286" i="12"/>
  <c r="Z286" i="12"/>
  <c r="AF286" i="12"/>
  <c r="T286" i="12" s="1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S286" i="12" l="1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P287" i="12" s="1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T288" i="12" s="1"/>
  <c r="Z288" i="12"/>
  <c r="AS288" i="12"/>
  <c r="AE288" i="12"/>
  <c r="AB288" i="12"/>
  <c r="AG288" i="12"/>
  <c r="U288" i="12" s="1"/>
  <c r="A289" i="12" a="1"/>
  <c r="Q288" i="12" l="1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P289" i="12" s="1"/>
  <c r="AO289" i="12"/>
  <c r="AA289" i="12"/>
  <c r="B289" i="12"/>
  <c r="AS289" i="12"/>
  <c r="AC289" i="12"/>
  <c r="J289" i="12"/>
  <c r="AM289" i="12"/>
  <c r="AE289" i="12"/>
  <c r="S289" i="12" s="1"/>
  <c r="AT289" i="12"/>
  <c r="Y289" i="12"/>
  <c r="AG289" i="12"/>
  <c r="AN289" i="12"/>
  <c r="K289" i="12"/>
  <c r="AL289" i="12"/>
  <c r="AK289" i="12"/>
  <c r="A290" i="12" a="1"/>
  <c r="R289" i="12" l="1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N290" i="12" s="1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T290" i="12" s="1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R290" i="12" l="1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N292" i="12" s="1"/>
  <c r="AD292" i="12"/>
  <c r="L292" i="12"/>
  <c r="AF292" i="12"/>
  <c r="J292" i="12"/>
  <c r="D292" i="12"/>
  <c r="AB292" i="12"/>
  <c r="A293" i="12" a="1"/>
  <c r="U292" i="12" l="1"/>
  <c r="Q292" i="12"/>
  <c r="R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T293" i="12" s="1"/>
  <c r="C293" i="12"/>
  <c r="K293" i="12"/>
  <c r="AK293" i="12"/>
  <c r="AH293" i="12"/>
  <c r="AS293" i="12"/>
  <c r="AA293" i="12"/>
  <c r="AB293" i="12"/>
  <c r="AL293" i="12"/>
  <c r="A294" i="12" a="1"/>
  <c r="U293" i="12" l="1"/>
  <c r="O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R295" i="12" s="1"/>
  <c r="AK295" i="12"/>
  <c r="D295" i="12"/>
  <c r="AG295" i="12"/>
  <c r="U295" i="12" s="1"/>
  <c r="AP295" i="12"/>
  <c r="E295" i="12"/>
  <c r="AR295" i="12"/>
  <c r="A296" i="12" a="1"/>
  <c r="S295" i="12" l="1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V296" i="12" s="1"/>
  <c r="AM296" i="12"/>
  <c r="I296" i="12"/>
  <c r="AD296" i="12"/>
  <c r="AB296" i="12"/>
  <c r="L296" i="12"/>
  <c r="AF296" i="12"/>
  <c r="T296" i="12" s="1"/>
  <c r="Y296" i="12"/>
  <c r="A297" i="12" a="1"/>
  <c r="N296" i="12" l="1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R297" i="12" s="1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T297" i="12" l="1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T298" i="12" s="1"/>
  <c r="AK298" i="12"/>
  <c r="AR298" i="12"/>
  <c r="AG298" i="12"/>
  <c r="D298" i="12"/>
  <c r="AH298" i="12"/>
  <c r="V298" i="12" s="1"/>
  <c r="A299" i="12" a="1"/>
  <c r="S298" i="12" l="1"/>
  <c r="U298" i="12"/>
  <c r="Q298" i="12"/>
  <c r="N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V300" i="12" s="1"/>
  <c r="L300" i="12"/>
  <c r="AA300" i="12"/>
  <c r="AC300" i="12"/>
  <c r="Q300" i="12" s="1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N300" i="12" l="1"/>
  <c r="O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<sst xmlns="http://schemas.openxmlformats.org/spreadsheetml/2006/main" count="2337" uniqueCount="1410">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</sst>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39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38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AF8" sqref="AF8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10330</v>
      </c>
      <c r="B2" s="81" t="s">
        <v>29</v>
      </c>
      <c r="C2" s="97" t="s">
        <v>918</v>
      </c>
      <c r="D2" s="84"/>
      <c r="E2" s="85"/>
      <c r="F2" s="92">
        <f>BA2-BB2</f>
        <v>0</v>
      </c>
      <c r="G2" s="85">
        <v>0.73055555555555551</v>
      </c>
      <c r="H2" s="85">
        <v>0.77361111111111114</v>
      </c>
      <c r="I2" s="92">
        <f>BF2-BG2</f>
        <v>1.033333333333335</v>
      </c>
      <c r="J2" s="85"/>
      <c r="K2" s="85"/>
      <c r="L2" s="92">
        <f>BK2-BL2</f>
        <v>0</v>
      </c>
      <c r="M2" s="85"/>
      <c r="N2" s="84"/>
      <c r="O2" s="92">
        <f>BP2-BQ2</f>
        <v>0</v>
      </c>
      <c r="P2" s="84">
        <v>0.35416666666666669</v>
      </c>
      <c r="Q2" s="85">
        <v>0.77083333333333337</v>
      </c>
      <c r="R2" s="92">
        <f>BU2-BV2</f>
        <v>9</v>
      </c>
      <c r="S2" s="85">
        <v>0.35416666666666669</v>
      </c>
      <c r="T2" s="85">
        <v>0.72916666666666663</v>
      </c>
      <c r="U2" s="92">
        <f>BZ2-CA2</f>
        <v>8.4999999999999982</v>
      </c>
      <c r="V2" s="85">
        <v>0.5</v>
      </c>
      <c r="W2" s="85">
        <v>0.77083333333333337</v>
      </c>
      <c r="X2" s="92">
        <f>CE2-CF2</f>
        <v>6.0000000000000009</v>
      </c>
      <c r="Y2" s="92"/>
      <c r="Z2" s="92"/>
      <c r="AA2" s="92"/>
      <c r="AB2" s="92">
        <f>SUM(F2,I2,L2,O2,R2,U2,X2)</f>
        <v>24.533333333333331</v>
      </c>
      <c r="AC2" s="93"/>
      <c r="AD2" s="78">
        <v>13.09</v>
      </c>
      <c r="AE2" s="94">
        <f t="shared" ref="AE2:AE40" si="1">SUMIF($BC$1:$CI$1,AE$1,$BC2:$CI2)+AD2</f>
        <v>23.123333333333335</v>
      </c>
      <c r="AF2" s="77"/>
      <c r="AG2" s="94">
        <f t="shared" ref="AG2:AG40" si="2">SUMIF($BC$1:$CI$1,AG$1,$BC2:$CI2)+AF2</f>
        <v>8.4999999999999982</v>
      </c>
      <c r="AH2" s="78">
        <v>0.5</v>
      </c>
      <c r="AI2" s="94">
        <f t="shared" ref="AI2:AI40" si="3">SUMIF($BC$1:$CI$1,AI$1,$BC2:$CI2)+AH2</f>
        <v>6.5000000000000009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4</v>
      </c>
      <c r="AQ2" s="77"/>
      <c r="AR2" s="77"/>
      <c r="AS2" s="77"/>
      <c r="AT2" s="44">
        <f>AE2+AG2+AI2+AK2+AM2+AO2+SUM(AQ2:AS2)</f>
        <v>38.123333333333335</v>
      </c>
      <c r="AU2" s="78"/>
      <c r="AV2" s="5"/>
      <c r="AW2" s="5"/>
      <c r="AX2" s="5"/>
      <c r="AY2" s="5"/>
      <c r="AZ2" s="24">
        <f>VLOOKUP(C2,Employees!D:I,6,FALSE)</f>
        <v>10330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1.033333333333335</v>
      </c>
      <c r="BG2" s="5">
        <f>IF(BF2&gt;$AY$1,1,IF(BF2&gt;=$AX$1,0.5,0))</f>
        <v>0</v>
      </c>
      <c r="BH2" s="5">
        <f>BF2-BG2-BI2-BJ2</f>
        <v>1.033333333333335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10</v>
      </c>
      <c r="BV2" s="5">
        <f>IF(BU2&gt;$AY$1,1,IF(BU2&gt;=$AX$1,0.5,0))</f>
        <v>1</v>
      </c>
      <c r="BW2" s="5">
        <f>BU2-BV2-BX2-BY2</f>
        <v>9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8.9999999999999982</v>
      </c>
      <c r="CA2" s="5">
        <f>IF(BZ2&gt;$AY$1,1,IF(BZ2&gt;=$AX$1,0.5,0))</f>
        <v>0.5</v>
      </c>
      <c r="CB2" s="5">
        <f>BZ2-CA2-CC2-CD2</f>
        <v>8.4999999999999982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6.5000000000000009</v>
      </c>
      <c r="CF2" s="5">
        <f>IF(CE2&gt;$AY$1,1,IF(CE2&gt;=$AX$1,0.5,0))</f>
        <v>0.5</v>
      </c>
      <c r="CG2" s="5">
        <f>CE2-CF2-CH2-CI2</f>
        <v>6.0000000000000009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4</v>
      </c>
    </row>
    <row r="3" spans="1:89" ht="38" customHeight="1">
      <c r="A3" s="74">
        <f t="shared" si="0"/>
        <v>10340</v>
      </c>
      <c r="B3" s="81" t="s">
        <v>29</v>
      </c>
      <c r="C3" s="97" t="s">
        <v>938</v>
      </c>
      <c r="D3" s="84"/>
      <c r="E3" s="85"/>
      <c r="F3" s="92">
        <f t="shared" ref="F3:F69" si="15">BA3-BB3</f>
        <v>0</v>
      </c>
      <c r="G3" s="85"/>
      <c r="H3" s="85"/>
      <c r="I3" s="92">
        <f t="shared" ref="I3:I69" si="16">BF3-BG3</f>
        <v>0</v>
      </c>
      <c r="J3" s="85"/>
      <c r="K3" s="85"/>
      <c r="L3" s="92">
        <f t="shared" ref="L3:L69" si="17">BK3-BL3</f>
        <v>0</v>
      </c>
      <c r="M3" s="85">
        <v>0.35416666666666669</v>
      </c>
      <c r="N3" s="84">
        <v>0.8125</v>
      </c>
      <c r="O3" s="92">
        <f t="shared" ref="O3:O69" si="18">BP3-BQ3</f>
        <v>10</v>
      </c>
      <c r="P3" s="84"/>
      <c r="Q3" s="85"/>
      <c r="R3" s="92">
        <f t="shared" ref="R3:R69" si="19">BU3-BV3</f>
        <v>0</v>
      </c>
      <c r="S3" s="85"/>
      <c r="T3" s="85"/>
      <c r="U3" s="92">
        <f t="shared" ref="U3:U69" si="20">BZ3-CA3</f>
        <v>0</v>
      </c>
      <c r="V3" s="85"/>
      <c r="W3" s="85"/>
      <c r="X3" s="92">
        <f t="shared" ref="X3:X69" si="21">CE3-CF3</f>
        <v>0</v>
      </c>
      <c r="Y3" s="92"/>
      <c r="Z3" s="92"/>
      <c r="AA3" s="92"/>
      <c r="AB3" s="92">
        <f t="shared" ref="AB3:AB69" si="22">SUM(F3,I3,L3,O3,R3,U3,X3)</f>
        <v>10</v>
      </c>
      <c r="AC3" s="93"/>
      <c r="AD3" s="78">
        <v>0.5</v>
      </c>
      <c r="AE3" s="94">
        <f t="shared" si="1"/>
        <v>10.5</v>
      </c>
      <c r="AF3" s="77"/>
      <c r="AG3" s="94">
        <f t="shared" si="2"/>
        <v>0</v>
      </c>
      <c r="AH3" s="78"/>
      <c r="AI3" s="94">
        <f t="shared" si="3"/>
        <v>0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1</v>
      </c>
      <c r="AQ3" s="77"/>
      <c r="AR3" s="77"/>
      <c r="AS3" s="77"/>
      <c r="AT3" s="44">
        <f t="shared" ref="AT3:AT69" si="24">AE3+AG3+AI3+AK3+AM3+AO3+SUM(AQ3:AS3)</f>
        <v>10.5</v>
      </c>
      <c r="AU3" s="78"/>
      <c r="AV3" s="5"/>
      <c r="AW3" s="5"/>
      <c r="AX3" s="5"/>
      <c r="AY3" s="5"/>
      <c r="AZ3" s="24">
        <f>VLOOKUP(C3,Employees!D:I,6,FALSE)</f>
        <v>10340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11</v>
      </c>
      <c r="BQ3" s="5">
        <f t="shared" ref="BQ3:BQ66" si="40">IF(BP3&gt;$AY$1,1,IF(BP3&gt;=$AX$1,0.5,0))</f>
        <v>1</v>
      </c>
      <c r="BR3" s="5">
        <f t="shared" ref="BR3:BR66" si="41">BP3-BQ3-BS3-BT3</f>
        <v>10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1</v>
      </c>
    </row>
    <row r="4" spans="1:89" ht="38" customHeight="1">
      <c r="A4" s="74">
        <f t="shared" si="0"/>
        <v>10356</v>
      </c>
      <c r="B4" s="81" t="s">
        <v>29</v>
      </c>
      <c r="C4" s="97" t="s">
        <v>986</v>
      </c>
      <c r="D4" s="85">
        <v>0.35416666666666669</v>
      </c>
      <c r="E4" s="85">
        <v>0.625</v>
      </c>
      <c r="F4" s="92">
        <f t="shared" si="15"/>
        <v>6</v>
      </c>
      <c r="G4" s="85">
        <v>0.5625</v>
      </c>
      <c r="H4" s="85">
        <v>0.72916666666666663</v>
      </c>
      <c r="I4" s="92">
        <f t="shared" si="16"/>
        <v>3.9999999999999991</v>
      </c>
      <c r="J4" s="85">
        <v>0.35416666666666669</v>
      </c>
      <c r="K4" s="85">
        <v>0.625</v>
      </c>
      <c r="L4" s="92">
        <f t="shared" si="17"/>
        <v>6</v>
      </c>
      <c r="M4" s="85"/>
      <c r="N4" s="85"/>
      <c r="O4" s="92">
        <f t="shared" si="18"/>
        <v>0</v>
      </c>
      <c r="P4" s="85"/>
      <c r="Q4" s="85"/>
      <c r="R4" s="92">
        <f t="shared" si="19"/>
        <v>0</v>
      </c>
      <c r="S4" s="85">
        <v>0.52083333333333337</v>
      </c>
      <c r="T4" s="85">
        <v>0.77083333333333337</v>
      </c>
      <c r="U4" s="92">
        <f t="shared" si="20"/>
        <v>5.5</v>
      </c>
      <c r="V4" s="85"/>
      <c r="W4" s="85"/>
      <c r="X4" s="92">
        <f t="shared" si="21"/>
        <v>0</v>
      </c>
      <c r="Y4" s="92"/>
      <c r="Z4" s="92"/>
      <c r="AA4" s="92"/>
      <c r="AB4" s="92">
        <f t="shared" si="22"/>
        <v>21.5</v>
      </c>
      <c r="AC4" s="93"/>
      <c r="AD4" s="78">
        <v>1</v>
      </c>
      <c r="AE4" s="94">
        <f t="shared" si="1"/>
        <v>17</v>
      </c>
      <c r="AF4" s="77"/>
      <c r="AG4" s="94">
        <f t="shared" si="2"/>
        <v>5.5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4</v>
      </c>
      <c r="AQ4" s="77"/>
      <c r="AR4" s="77"/>
      <c r="AS4" s="77"/>
      <c r="AT4" s="44">
        <f t="shared" si="24"/>
        <v>22.5</v>
      </c>
      <c r="AU4" s="78"/>
      <c r="AV4" s="5"/>
      <c r="AW4" s="5"/>
      <c r="AX4" s="5"/>
      <c r="AY4" s="5"/>
      <c r="AZ4" s="24">
        <f>VLOOKUP(C4,Employees!D:I,6,FALSE)</f>
        <v>10356</v>
      </c>
      <c r="BA4" s="5">
        <f t="shared" si="25"/>
        <v>6.5</v>
      </c>
      <c r="BB4" s="5">
        <f t="shared" si="26"/>
        <v>0.5</v>
      </c>
      <c r="BC4" s="5">
        <f t="shared" si="27"/>
        <v>6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3.9999999999999991</v>
      </c>
      <c r="BG4" s="5">
        <f t="shared" si="30"/>
        <v>0</v>
      </c>
      <c r="BH4" s="5">
        <f t="shared" si="31"/>
        <v>3.9999999999999991</v>
      </c>
      <c r="BI4" s="5">
        <f t="shared" si="32"/>
        <v>0</v>
      </c>
      <c r="BJ4" s="5">
        <f t="shared" si="33"/>
        <v>0</v>
      </c>
      <c r="BK4" s="5">
        <f t="shared" si="34"/>
        <v>6.5</v>
      </c>
      <c r="BL4" s="5">
        <f t="shared" si="35"/>
        <v>0.5</v>
      </c>
      <c r="BM4" s="5">
        <f t="shared" si="36"/>
        <v>6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6</v>
      </c>
      <c r="CA4" s="5">
        <f t="shared" si="49"/>
        <v>0.5</v>
      </c>
      <c r="CB4" s="5">
        <f t="shared" si="50"/>
        <v>5.5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4</v>
      </c>
    </row>
    <row r="5" spans="1:89" ht="38" customHeight="1">
      <c r="A5" s="74">
        <f t="shared" si="0"/>
        <v>210458</v>
      </c>
      <c r="B5" s="81" t="s">
        <v>29</v>
      </c>
      <c r="C5" s="98" t="s">
        <v>1249</v>
      </c>
      <c r="D5" s="85">
        <v>0.56319444444444444</v>
      </c>
      <c r="E5" s="85">
        <v>0.7895833333333333</v>
      </c>
      <c r="F5" s="92">
        <f t="shared" si="15"/>
        <v>5.4333333333333327</v>
      </c>
      <c r="G5" s="85">
        <v>0.35416666666666669</v>
      </c>
      <c r="H5" s="85">
        <v>0.63055555555555554</v>
      </c>
      <c r="I5" s="92">
        <f t="shared" si="16"/>
        <v>6.1333333333333329</v>
      </c>
      <c r="J5" s="85"/>
      <c r="K5" s="85"/>
      <c r="L5" s="92">
        <f t="shared" si="17"/>
        <v>0</v>
      </c>
      <c r="M5" s="85"/>
      <c r="N5" s="85"/>
      <c r="O5" s="92">
        <f t="shared" si="18"/>
        <v>0</v>
      </c>
      <c r="P5" s="85"/>
      <c r="Q5" s="85"/>
      <c r="R5" s="92">
        <f t="shared" si="19"/>
        <v>0</v>
      </c>
      <c r="S5" s="85"/>
      <c r="T5" s="85"/>
      <c r="U5" s="92">
        <f t="shared" si="20"/>
        <v>0</v>
      </c>
      <c r="V5" s="85"/>
      <c r="W5" s="85"/>
      <c r="X5" s="92">
        <f t="shared" si="21"/>
        <v>0</v>
      </c>
      <c r="Y5" s="92"/>
      <c r="Z5" s="92"/>
      <c r="AA5" s="92"/>
      <c r="AB5" s="92">
        <f t="shared" si="22"/>
        <v>11.566666666666666</v>
      </c>
      <c r="AC5" s="93"/>
      <c r="AD5" s="78">
        <v>0.5</v>
      </c>
      <c r="AE5" s="94">
        <f t="shared" si="1"/>
        <v>12.066666666666666</v>
      </c>
      <c r="AF5" s="77"/>
      <c r="AG5" s="94">
        <f t="shared" si="2"/>
        <v>0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2</v>
      </c>
      <c r="AQ5" s="77"/>
      <c r="AR5" s="77"/>
      <c r="AS5" s="77"/>
      <c r="AT5" s="44">
        <f t="shared" si="24"/>
        <v>12.066666666666666</v>
      </c>
      <c r="AU5" s="78"/>
      <c r="AV5" s="5"/>
      <c r="AW5" s="5"/>
      <c r="AX5" s="5"/>
      <c r="AY5" s="5"/>
      <c r="AZ5" s="24">
        <f>VLOOKUP(C5,Employees!D:I,6,FALSE)</f>
        <v>210458</v>
      </c>
      <c r="BA5" s="5">
        <f t="shared" si="25"/>
        <v>5.4333333333333327</v>
      </c>
      <c r="BB5" s="5">
        <f t="shared" si="26"/>
        <v>0</v>
      </c>
      <c r="BC5" s="5">
        <f t="shared" si="27"/>
        <v>5.4333333333333327</v>
      </c>
      <c r="BD5" s="5">
        <f t="shared" si="58"/>
        <v>0</v>
      </c>
      <c r="BE5" s="5">
        <f t="shared" si="28"/>
        <v>0</v>
      </c>
      <c r="BF5" s="5">
        <f t="shared" si="29"/>
        <v>6.6333333333333329</v>
      </c>
      <c r="BG5" s="5">
        <f t="shared" si="30"/>
        <v>0.5</v>
      </c>
      <c r="BH5" s="5">
        <f t="shared" si="31"/>
        <v>6.1333333333333329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2</v>
      </c>
    </row>
    <row r="6" spans="1:89" ht="38" customHeight="1">
      <c r="A6" s="74">
        <f t="shared" si="0"/>
        <v>10097</v>
      </c>
      <c r="B6" s="81" t="s">
        <v>29</v>
      </c>
      <c r="C6" s="98" t="s">
        <v>172</v>
      </c>
      <c r="D6" s="85"/>
      <c r="E6" s="85"/>
      <c r="F6" s="92">
        <f t="shared" si="15"/>
        <v>0</v>
      </c>
      <c r="G6" s="85"/>
      <c r="H6" s="85"/>
      <c r="I6" s="92">
        <f t="shared" si="16"/>
        <v>0</v>
      </c>
      <c r="J6" s="85"/>
      <c r="K6" s="85"/>
      <c r="L6" s="92">
        <f t="shared" si="17"/>
        <v>0</v>
      </c>
      <c r="M6" s="85"/>
      <c r="N6" s="85"/>
      <c r="O6" s="92">
        <f t="shared" si="18"/>
        <v>0</v>
      </c>
      <c r="P6" s="85"/>
      <c r="Q6" s="85"/>
      <c r="R6" s="92">
        <f t="shared" si="19"/>
        <v>0</v>
      </c>
      <c r="S6" s="85"/>
      <c r="T6" s="85"/>
      <c r="U6" s="92">
        <f t="shared" si="20"/>
        <v>0</v>
      </c>
      <c r="V6" s="85">
        <v>0.375</v>
      </c>
      <c r="W6" s="85">
        <v>0.77083333333333337</v>
      </c>
      <c r="X6" s="92">
        <f t="shared" si="21"/>
        <v>8.5</v>
      </c>
      <c r="Y6" s="92"/>
      <c r="Z6" s="92"/>
      <c r="AA6" s="92"/>
      <c r="AB6" s="92">
        <f t="shared" si="22"/>
        <v>8.5</v>
      </c>
      <c r="AC6" s="93"/>
      <c r="AD6" s="78">
        <v>41</v>
      </c>
      <c r="AE6" s="94">
        <f t="shared" si="1"/>
        <v>41</v>
      </c>
      <c r="AF6" s="77"/>
      <c r="AG6" s="94">
        <f t="shared" si="2"/>
        <v>0</v>
      </c>
      <c r="AH6" s="78">
        <v>1</v>
      </c>
      <c r="AI6" s="94">
        <f t="shared" si="3"/>
        <v>9.5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1</v>
      </c>
      <c r="AQ6" s="77"/>
      <c r="AR6" s="77"/>
      <c r="AS6" s="77"/>
      <c r="AT6" s="44">
        <f t="shared" si="24"/>
        <v>50.5</v>
      </c>
      <c r="AU6" s="78"/>
      <c r="AV6" s="5"/>
      <c r="AW6" s="5"/>
      <c r="AX6" s="5"/>
      <c r="AY6" s="5"/>
      <c r="AZ6" s="24">
        <f>VLOOKUP(C6,Employees!D:I,6,FALSE)</f>
        <v>10097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9.5</v>
      </c>
      <c r="CF6" s="5">
        <f t="shared" si="54"/>
        <v>1</v>
      </c>
      <c r="CG6" s="5">
        <f t="shared" si="55"/>
        <v>8.5</v>
      </c>
      <c r="CH6" s="5">
        <f t="shared" si="56"/>
        <v>0</v>
      </c>
      <c r="CI6" s="5">
        <f t="shared" si="57"/>
        <v>0</v>
      </c>
      <c r="CJ6" s="5"/>
      <c r="CK6" s="4">
        <f t="shared" si="14"/>
        <v>1</v>
      </c>
    </row>
    <row r="7" spans="1:89" ht="38" customHeight="1">
      <c r="A7" s="74">
        <f t="shared" si="0"/>
        <v>210513</v>
      </c>
      <c r="B7" s="81" t="s">
        <v>29</v>
      </c>
      <c r="C7" s="86" t="s">
        <v>1409</v>
      </c>
      <c r="D7" s="84"/>
      <c r="E7" s="85"/>
      <c r="F7" s="92">
        <f t="shared" si="15"/>
        <v>0</v>
      </c>
      <c r="G7" s="85"/>
      <c r="H7" s="85"/>
      <c r="I7" s="92">
        <f t="shared" si="16"/>
        <v>0</v>
      </c>
      <c r="J7" s="85">
        <v>0.56319444444444444</v>
      </c>
      <c r="K7" s="85">
        <v>0.7895833333333333</v>
      </c>
      <c r="L7" s="92">
        <f t="shared" si="17"/>
        <v>5.4333333333333327</v>
      </c>
      <c r="M7" s="84">
        <v>0.68819444444444444</v>
      </c>
      <c r="N7" s="85">
        <v>0.93055555555555558</v>
      </c>
      <c r="O7" s="92">
        <f t="shared" si="18"/>
        <v>5.3166666666666673</v>
      </c>
      <c r="P7" s="84"/>
      <c r="Q7" s="85"/>
      <c r="R7" s="92">
        <f t="shared" si="19"/>
        <v>0</v>
      </c>
      <c r="S7" s="84"/>
      <c r="T7" s="85"/>
      <c r="U7" s="92">
        <f t="shared" si="20"/>
        <v>0</v>
      </c>
      <c r="V7" s="85"/>
      <c r="W7" s="85"/>
      <c r="X7" s="92">
        <f t="shared" si="21"/>
        <v>0</v>
      </c>
      <c r="Y7" s="92"/>
      <c r="Z7" s="92"/>
      <c r="AA7" s="92"/>
      <c r="AB7" s="92">
        <f t="shared" si="22"/>
        <v>10.75</v>
      </c>
      <c r="AC7" s="93"/>
      <c r="AD7" s="78">
        <v>0.5</v>
      </c>
      <c r="AE7" s="94">
        <f t="shared" si="1"/>
        <v>10.916666666666664</v>
      </c>
      <c r="AF7" s="77"/>
      <c r="AG7" s="94">
        <f t="shared" si="2"/>
        <v>0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0.33333333333333481</v>
      </c>
      <c r="AN7" s="77"/>
      <c r="AO7" s="94">
        <f t="shared" si="6"/>
        <v>0</v>
      </c>
      <c r="AP7" s="95">
        <f t="shared" si="23"/>
        <v>2</v>
      </c>
      <c r="AQ7" s="77"/>
      <c r="AR7" s="77"/>
      <c r="AS7" s="77"/>
      <c r="AT7" s="44">
        <f t="shared" si="24"/>
        <v>11.25</v>
      </c>
      <c r="AU7" s="78"/>
      <c r="AV7" s="5"/>
      <c r="AW7" s="5"/>
      <c r="AX7" s="5"/>
      <c r="AY7" s="5"/>
      <c r="AZ7" s="24">
        <f>VLOOKUP(C7,Employees!D:I,6,FALSE)</f>
        <v>210513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5.4333333333333327</v>
      </c>
      <c r="BL7" s="5">
        <f t="shared" si="35"/>
        <v>0</v>
      </c>
      <c r="BM7" s="5">
        <f t="shared" si="36"/>
        <v>5.4333333333333327</v>
      </c>
      <c r="BN7" s="5">
        <f t="shared" si="37"/>
        <v>0</v>
      </c>
      <c r="BO7" s="5">
        <f t="shared" si="38"/>
        <v>0</v>
      </c>
      <c r="BP7" s="5">
        <f t="shared" si="39"/>
        <v>5.8166666666666673</v>
      </c>
      <c r="BQ7" s="5">
        <f t="shared" si="40"/>
        <v>0.5</v>
      </c>
      <c r="BR7" s="5">
        <f t="shared" si="41"/>
        <v>4.9833333333333325</v>
      </c>
      <c r="BS7" s="5">
        <f t="shared" si="42"/>
        <v>0.33333333333333481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2</v>
      </c>
    </row>
    <row r="8" spans="1:89" ht="38" customHeight="1">
      <c r="A8" s="74" t="str">
        <f t="shared" si="0"/>
        <v/>
      </c>
      <c r="B8" s="81"/>
      <c r="C8" s="86"/>
      <c r="D8" s="84"/>
      <c r="E8" s="85"/>
      <c r="F8" s="92">
        <f t="shared" si="15"/>
        <v>0</v>
      </c>
      <c r="G8" s="85"/>
      <c r="H8" s="85"/>
      <c r="I8" s="92">
        <f t="shared" si="16"/>
        <v>0</v>
      </c>
      <c r="J8" s="84"/>
      <c r="K8" s="85"/>
      <c r="L8" s="92">
        <f t="shared" si="17"/>
        <v>0</v>
      </c>
      <c r="M8" s="85"/>
      <c r="N8" s="85"/>
      <c r="O8" s="92">
        <f t="shared" si="18"/>
        <v>0</v>
      </c>
      <c r="P8" s="84"/>
      <c r="Q8" s="85"/>
      <c r="R8" s="92">
        <f t="shared" si="19"/>
        <v>0</v>
      </c>
      <c r="S8" s="84"/>
      <c r="T8" s="85"/>
      <c r="U8" s="92">
        <f t="shared" si="20"/>
        <v>0</v>
      </c>
      <c r="V8" s="85"/>
      <c r="W8" s="85"/>
      <c r="X8" s="92">
        <f t="shared" si="21"/>
        <v>0</v>
      </c>
      <c r="Y8" s="92"/>
      <c r="Z8" s="92"/>
      <c r="AA8" s="92"/>
      <c r="AB8" s="92">
        <f t="shared" si="22"/>
        <v>0</v>
      </c>
      <c r="AC8" s="93"/>
      <c r="AD8" s="78"/>
      <c r="AE8" s="94">
        <f t="shared" si="1"/>
        <v>0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81"/>
      <c r="C9" s="86"/>
      <c r="D9" s="85"/>
      <c r="E9" s="85"/>
      <c r="F9" s="92">
        <f t="shared" si="15"/>
        <v>0</v>
      </c>
      <c r="G9" s="85"/>
      <c r="H9" s="85"/>
      <c r="I9" s="92">
        <f t="shared" si="16"/>
        <v>0</v>
      </c>
      <c r="J9" s="85"/>
      <c r="K9" s="85"/>
      <c r="L9" s="92">
        <f t="shared" si="17"/>
        <v>0</v>
      </c>
      <c r="M9" s="84"/>
      <c r="N9" s="85"/>
      <c r="O9" s="92">
        <f t="shared" si="18"/>
        <v>0</v>
      </c>
      <c r="P9" s="85"/>
      <c r="Q9" s="85"/>
      <c r="R9" s="92">
        <f t="shared" si="19"/>
        <v>0</v>
      </c>
      <c r="S9" s="84"/>
      <c r="T9" s="85"/>
      <c r="U9" s="92">
        <f t="shared" si="20"/>
        <v>0</v>
      </c>
      <c r="V9" s="85"/>
      <c r="W9" s="8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81"/>
      <c r="C10" s="86"/>
      <c r="D10" s="84"/>
      <c r="E10" s="84"/>
      <c r="F10" s="92">
        <f t="shared" si="15"/>
        <v>0</v>
      </c>
      <c r="G10" s="85"/>
      <c r="H10" s="85"/>
      <c r="I10" s="92">
        <f t="shared" si="16"/>
        <v>0</v>
      </c>
      <c r="J10" s="84"/>
      <c r="K10" s="85"/>
      <c r="L10" s="92">
        <f t="shared" si="17"/>
        <v>0</v>
      </c>
      <c r="M10" s="85"/>
      <c r="N10" s="85"/>
      <c r="O10" s="92">
        <f t="shared" si="18"/>
        <v>0</v>
      </c>
      <c r="P10" s="85"/>
      <c r="Q10" s="85"/>
      <c r="R10" s="92">
        <f t="shared" si="19"/>
        <v>0</v>
      </c>
      <c r="S10" s="84"/>
      <c r="T10" s="85"/>
      <c r="U10" s="92">
        <f t="shared" si="20"/>
        <v>0</v>
      </c>
      <c r="V10" s="85"/>
      <c r="W10" s="8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81"/>
      <c r="C11" s="86"/>
      <c r="D11" s="85"/>
      <c r="E11" s="85"/>
      <c r="F11" s="92">
        <f t="shared" si="15"/>
        <v>0</v>
      </c>
      <c r="G11" s="85"/>
      <c r="H11" s="85"/>
      <c r="I11" s="92">
        <f t="shared" si="16"/>
        <v>0</v>
      </c>
      <c r="J11" s="84"/>
      <c r="K11" s="85"/>
      <c r="L11" s="92">
        <f t="shared" si="17"/>
        <v>0</v>
      </c>
      <c r="M11" s="85"/>
      <c r="N11" s="85"/>
      <c r="O11" s="92">
        <f t="shared" si="18"/>
        <v>0</v>
      </c>
      <c r="P11" s="84"/>
      <c r="Q11" s="85"/>
      <c r="R11" s="92">
        <f t="shared" si="19"/>
        <v>0</v>
      </c>
      <c r="S11" s="75"/>
      <c r="T11" s="75"/>
      <c r="U11" s="92">
        <f t="shared" si="20"/>
        <v>0</v>
      </c>
      <c r="V11" s="84"/>
      <c r="W11" s="8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86"/>
      <c r="D12" s="85"/>
      <c r="E12" s="85"/>
      <c r="F12" s="92">
        <f t="shared" si="15"/>
        <v>0</v>
      </c>
      <c r="G12" s="85"/>
      <c r="H12" s="85"/>
      <c r="I12" s="92">
        <f t="shared" si="16"/>
        <v>0</v>
      </c>
      <c r="J12" s="76"/>
      <c r="K12" s="75"/>
      <c r="L12" s="92">
        <f t="shared" si="17"/>
        <v>0</v>
      </c>
      <c r="M12" s="85"/>
      <c r="N12" s="8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2">
        <f t="shared" si="15"/>
        <v>0</v>
      </c>
      <c r="G13" s="85"/>
      <c r="H13" s="84"/>
      <c r="I13" s="92">
        <f t="shared" si="16"/>
        <v>0</v>
      </c>
      <c r="J13" s="76"/>
      <c r="K13" s="75"/>
      <c r="L13" s="92">
        <f t="shared" si="17"/>
        <v>0</v>
      </c>
      <c r="M13" s="85"/>
      <c r="N13" s="84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2">
        <f t="shared" si="15"/>
        <v>0</v>
      </c>
      <c r="G14" s="85"/>
      <c r="H14" s="85"/>
      <c r="I14" s="92">
        <f t="shared" si="16"/>
        <v>0</v>
      </c>
      <c r="J14" s="76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6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2">
        <f t="shared" si="15"/>
        <v>0</v>
      </c>
      <c r="G16" s="75"/>
      <c r="H16" s="75"/>
      <c r="I16" s="92">
        <f t="shared" si="16"/>
        <v>0</v>
      </c>
      <c r="J16" s="76"/>
      <c r="K16" s="75"/>
      <c r="L16" s="92">
        <f t="shared" si="17"/>
        <v>0</v>
      </c>
      <c r="M16" s="75"/>
      <c r="N16" s="75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75"/>
      <c r="W16" s="75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6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75"/>
      <c r="T17" s="75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6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6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6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6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6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AL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10330</v>
      </c>
      <c r="B2" s="81" t="s">
        <v>29</v>
      </c>
      <c r="C2" s="97" t="s">
        <v>918</v>
      </c>
      <c r="D2" s="75"/>
      <c r="E2" s="75"/>
      <c r="F2" s="92">
        <f>BA2-BB2</f>
        <v>0</v>
      </c>
      <c r="G2" s="75"/>
      <c r="H2" s="76"/>
      <c r="I2" s="92">
        <f>BF2-BG2</f>
        <v>0</v>
      </c>
      <c r="J2" s="75"/>
      <c r="K2" s="76"/>
      <c r="L2" s="92">
        <f>BK2-BL2</f>
        <v>0</v>
      </c>
      <c r="M2" s="76">
        <v>0.5625</v>
      </c>
      <c r="N2" s="76">
        <v>0.90277777777777779</v>
      </c>
      <c r="O2" s="92">
        <f>BP2-BQ2</f>
        <v>7.6666666666666679</v>
      </c>
      <c r="P2" s="75">
        <v>0.35416666666666669</v>
      </c>
      <c r="Q2" s="75">
        <v>0.77916666666666667</v>
      </c>
      <c r="R2" s="92">
        <f>BU2-BV2</f>
        <v>9.1999999999999993</v>
      </c>
      <c r="S2" s="75">
        <v>0.36180555555555555</v>
      </c>
      <c r="T2" s="75">
        <v>0.75277777777777777</v>
      </c>
      <c r="U2" s="92">
        <f>BZ2-CA2</f>
        <v>8.3833333333333329</v>
      </c>
      <c r="V2" s="75">
        <v>0.5</v>
      </c>
      <c r="W2" s="76">
        <v>0.77083333333333337</v>
      </c>
      <c r="X2" s="92">
        <f>CE2-CF2</f>
        <v>6.0000000000000009</v>
      </c>
      <c r="Y2" s="92"/>
      <c r="Z2" s="92"/>
      <c r="AA2" s="92"/>
      <c r="AB2" s="96">
        <f>SUM(F2,I2,L2,O2,R2,U2,X2)</f>
        <v>31.25</v>
      </c>
      <c r="AC2" s="93"/>
      <c r="AD2" s="78"/>
      <c r="AE2" s="94">
        <f>SUMIF($BC$1:$CI$1,AE$1,$BC2:$CI2)+AD2</f>
        <v>16.866666666666667</v>
      </c>
      <c r="AF2" s="78"/>
      <c r="AG2" s="94">
        <f>SUMIF($BC$1:$CI$1,AG$1,$BC2:$CI2)+AF2</f>
        <v>8.3833333333333329</v>
      </c>
      <c r="AH2" s="78">
        <v>0.5</v>
      </c>
      <c r="AI2" s="94">
        <f>SUMIF($BC$1:$CI$1,AI$1,$BC2:$CI2)+AH2</f>
        <v>6.5000000000000009</v>
      </c>
      <c r="AJ2" s="77"/>
      <c r="AK2" s="94">
        <f>SUMIF($BC$1:$CI$1,AK$1,$BC2:$CI2)+AJ2</f>
        <v>0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4</v>
      </c>
      <c r="AQ2" s="77"/>
      <c r="AR2" s="77"/>
      <c r="AS2" s="77"/>
      <c r="AT2" s="63">
        <f>AE2+AG2+AI2+AK2+AM2+AO2+SUM(AQ2:AS2)</f>
        <v>31.75</v>
      </c>
      <c r="AU2" s="78"/>
      <c r="AV2" s="5"/>
      <c r="AW2" s="5"/>
      <c r="AX2" s="5"/>
      <c r="AY2" s="5"/>
      <c r="AZ2" s="24">
        <f>VLOOKUP(C2,Employees!D:I,6,FALSE)</f>
        <v>10330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8.1666666666666679</v>
      </c>
      <c r="BQ2" s="5">
        <f>IF(BP2&gt;$AY$1,1,IF(BP2&gt;=$AX$1,0.5,0))</f>
        <v>0.5</v>
      </c>
      <c r="BR2" s="5">
        <f>BP2-BQ2-BS2-BT2</f>
        <v>7.6666666666666679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10.199999999999999</v>
      </c>
      <c r="BV2" s="5">
        <f>IF(BU2&gt;$AY$1,1,IF(BU2&gt;=$AX$1,0.5,0))</f>
        <v>1</v>
      </c>
      <c r="BW2" s="5">
        <f>BU2-BV2-BX2-BY2</f>
        <v>9.1999999999999993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9.3833333333333329</v>
      </c>
      <c r="CA2" s="5">
        <f>IF(BZ2&gt;$AY$1,1,IF(BZ2&gt;=$AX$1,0.5,0))</f>
        <v>1</v>
      </c>
      <c r="CB2" s="5">
        <f>BZ2-CA2-CC2-CD2</f>
        <v>8.3833333333333329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6.5000000000000009</v>
      </c>
      <c r="CF2" s="5">
        <f>IF(CE2&gt;$AY$1,1,IF(CE2&gt;=$AX$1,0.5,0))</f>
        <v>0.5</v>
      </c>
      <c r="CG2" s="5">
        <f>CE2-CF2-CH2-CI2</f>
        <v>6.0000000000000009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4</v>
      </c>
    </row>
    <row r="3" spans="1:89" ht="47" customHeight="1">
      <c r="A3" s="74">
        <f t="shared" si="0"/>
        <v>10340</v>
      </c>
      <c r="B3" s="81" t="s">
        <v>29</v>
      </c>
      <c r="C3" s="97" t="s">
        <v>938</v>
      </c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/>
      <c r="K3" s="75"/>
      <c r="L3" s="92">
        <f t="shared" ref="L3:L74" si="11">BK3-BL3</f>
        <v>0</v>
      </c>
      <c r="M3" s="75">
        <v>0.35833333333333334</v>
      </c>
      <c r="N3" s="75">
        <v>0.8125</v>
      </c>
      <c r="O3" s="92">
        <f t="shared" ref="O3:O74" si="12">BP3-BQ3</f>
        <v>9.9</v>
      </c>
      <c r="P3" s="85"/>
      <c r="Q3" s="85"/>
      <c r="R3" s="92">
        <f t="shared" ref="R3:R74" si="13">BU3-BV3</f>
        <v>0</v>
      </c>
      <c r="S3" s="85"/>
      <c r="T3" s="85"/>
      <c r="U3" s="92">
        <f t="shared" ref="U3:U74" si="14">BZ3-CA3</f>
        <v>0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9.9</v>
      </c>
      <c r="AC3" s="93"/>
      <c r="AD3" s="78"/>
      <c r="AE3" s="94">
        <f t="shared" ref="AE3:AE74" si="17">SUMIF($BC$1:$CI$1,AE$1,$BC3:$CI3)+AD3</f>
        <v>9.9</v>
      </c>
      <c r="AF3" s="78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1</v>
      </c>
      <c r="AQ3" s="77"/>
      <c r="AR3" s="77"/>
      <c r="AS3" s="77"/>
      <c r="AT3" s="63">
        <f t="shared" ref="AT3:AT74" si="24">AE3+AG3+AI3+AK3+AM3+AO3+SUM(AQ3:AS3)</f>
        <v>9.9</v>
      </c>
      <c r="AU3" s="78"/>
      <c r="AV3" s="5"/>
      <c r="AW3" s="5"/>
      <c r="AX3" s="5"/>
      <c r="AY3" s="5"/>
      <c r="AZ3" s="24">
        <f>VLOOKUP(C3,Employees!D:I,6,FALSE)</f>
        <v>10340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10.9</v>
      </c>
      <c r="BQ3" s="5">
        <f t="shared" ref="BQ3:BQ66" si="41">IF(BP3&gt;$AY$1,1,IF(BP3&gt;=$AX$1,0.5,0))</f>
        <v>1</v>
      </c>
      <c r="BR3" s="5">
        <f t="shared" ref="BR3:BR66" si="42">BP3-BQ3-BS3-BT3</f>
        <v>9.9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1</v>
      </c>
    </row>
    <row r="4" spans="1:89" ht="47" customHeight="1">
      <c r="A4" s="74">
        <f t="shared" si="0"/>
        <v>10356</v>
      </c>
      <c r="B4" s="81" t="s">
        <v>29</v>
      </c>
      <c r="C4" s="97" t="s">
        <v>986</v>
      </c>
      <c r="D4" s="75">
        <v>0.35416666666666669</v>
      </c>
      <c r="E4" s="75">
        <v>0.62986111111111109</v>
      </c>
      <c r="F4" s="92">
        <f t="shared" si="9"/>
        <v>6.1166666666666654</v>
      </c>
      <c r="G4" s="75">
        <v>0.5625</v>
      </c>
      <c r="H4" s="75">
        <v>0.77083333333333337</v>
      </c>
      <c r="I4" s="92">
        <f t="shared" si="10"/>
        <v>5.0000000000000009</v>
      </c>
      <c r="J4" s="75">
        <v>0.36041666666666666</v>
      </c>
      <c r="K4" s="75">
        <v>0.63263888888888886</v>
      </c>
      <c r="L4" s="92">
        <f t="shared" si="11"/>
        <v>6.0333333333333332</v>
      </c>
      <c r="M4" s="75"/>
      <c r="N4" s="75"/>
      <c r="O4" s="92">
        <f t="shared" si="12"/>
        <v>0</v>
      </c>
      <c r="P4" s="75"/>
      <c r="Q4" s="75"/>
      <c r="R4" s="92">
        <f t="shared" si="13"/>
        <v>0</v>
      </c>
      <c r="S4" s="75">
        <v>0.52083333333333337</v>
      </c>
      <c r="T4" s="75">
        <v>0.77083333333333337</v>
      </c>
      <c r="U4" s="92">
        <f t="shared" si="14"/>
        <v>5.5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22.65</v>
      </c>
      <c r="AC4" s="93"/>
      <c r="AD4" s="78">
        <v>0.5</v>
      </c>
      <c r="AE4" s="94">
        <f t="shared" si="17"/>
        <v>17.649999999999999</v>
      </c>
      <c r="AF4" s="78"/>
      <c r="AG4" s="94">
        <f t="shared" si="18"/>
        <v>5.5</v>
      </c>
      <c r="AH4" s="78"/>
      <c r="AI4" s="94">
        <f t="shared" si="19"/>
        <v>0</v>
      </c>
      <c r="AJ4" s="77"/>
      <c r="AK4" s="94">
        <f t="shared" si="20"/>
        <v>0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4</v>
      </c>
      <c r="AQ4" s="77"/>
      <c r="AR4" s="77"/>
      <c r="AS4" s="77"/>
      <c r="AT4" s="63">
        <f t="shared" si="24"/>
        <v>23.15</v>
      </c>
      <c r="AU4" s="78"/>
      <c r="AV4" s="5"/>
      <c r="AW4" s="5"/>
      <c r="AX4" s="5"/>
      <c r="AY4" s="5"/>
      <c r="AZ4" s="24">
        <f>VLOOKUP(C4,Employees!D:I,6,FALSE)</f>
        <v>10356</v>
      </c>
      <c r="BA4" s="5">
        <f t="shared" si="25"/>
        <v>6.6166666666666654</v>
      </c>
      <c r="BB4" s="5">
        <f t="shared" si="26"/>
        <v>0.5</v>
      </c>
      <c r="BC4" s="5">
        <f t="shared" si="27"/>
        <v>6.1166666666666654</v>
      </c>
      <c r="BD4" s="5">
        <f t="shared" si="28"/>
        <v>0</v>
      </c>
      <c r="BE4" s="5">
        <f t="shared" si="29"/>
        <v>0</v>
      </c>
      <c r="BF4" s="5">
        <f t="shared" si="30"/>
        <v>5.0000000000000009</v>
      </c>
      <c r="BG4" s="5">
        <f t="shared" si="31"/>
        <v>0</v>
      </c>
      <c r="BH4" s="5">
        <f t="shared" si="32"/>
        <v>5.0000000000000009</v>
      </c>
      <c r="BI4" s="5">
        <f t="shared" si="33"/>
        <v>0</v>
      </c>
      <c r="BJ4" s="5">
        <f t="shared" si="34"/>
        <v>0</v>
      </c>
      <c r="BK4" s="5">
        <f t="shared" si="35"/>
        <v>6.5333333333333332</v>
      </c>
      <c r="BL4" s="5">
        <f t="shared" si="36"/>
        <v>0.5</v>
      </c>
      <c r="BM4" s="5">
        <f t="shared" si="37"/>
        <v>6.0333333333333332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6</v>
      </c>
      <c r="CA4" s="5">
        <f t="shared" si="51"/>
        <v>0.5</v>
      </c>
      <c r="CB4" s="5">
        <f t="shared" si="52"/>
        <v>5.5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4</v>
      </c>
    </row>
    <row r="5" spans="1:89" ht="47" customHeight="1">
      <c r="A5" s="74">
        <f t="shared" si="0"/>
        <v>210458</v>
      </c>
      <c r="B5" s="81" t="s">
        <v>29</v>
      </c>
      <c r="C5" s="98" t="s">
        <v>1249</v>
      </c>
      <c r="D5" s="76">
        <v>0.5625</v>
      </c>
      <c r="E5" s="75">
        <v>0.77986111111111112</v>
      </c>
      <c r="F5" s="92">
        <f t="shared" si="9"/>
        <v>5.2166666666666668</v>
      </c>
      <c r="G5" s="75">
        <v>0.35416666666666669</v>
      </c>
      <c r="H5" s="75">
        <v>0.625</v>
      </c>
      <c r="I5" s="92">
        <f t="shared" si="10"/>
        <v>6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11.216666666666667</v>
      </c>
      <c r="AC5" s="93"/>
      <c r="AD5" s="78">
        <v>0.5</v>
      </c>
      <c r="AE5" s="94">
        <f t="shared" si="17"/>
        <v>11.716666666666667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2</v>
      </c>
      <c r="AQ5" s="77"/>
      <c r="AR5" s="77"/>
      <c r="AS5" s="77"/>
      <c r="AT5" s="63">
        <f t="shared" si="24"/>
        <v>11.716666666666667</v>
      </c>
      <c r="AU5" s="78"/>
      <c r="AV5" s="5"/>
      <c r="AW5" s="5"/>
      <c r="AX5" s="5"/>
      <c r="AY5" s="5"/>
      <c r="AZ5" s="24">
        <f>VLOOKUP(C5,Employees!D:I,6,FALSE)</f>
        <v>210458</v>
      </c>
      <c r="BA5" s="5">
        <f t="shared" si="25"/>
        <v>5.2166666666666668</v>
      </c>
      <c r="BB5" s="5">
        <f t="shared" si="26"/>
        <v>0</v>
      </c>
      <c r="BC5" s="5">
        <f t="shared" si="27"/>
        <v>5.2166666666666668</v>
      </c>
      <c r="BD5" s="5">
        <f t="shared" si="28"/>
        <v>0</v>
      </c>
      <c r="BE5" s="5">
        <f t="shared" si="29"/>
        <v>0</v>
      </c>
      <c r="BF5" s="5">
        <f t="shared" si="30"/>
        <v>6.5</v>
      </c>
      <c r="BG5" s="5">
        <f t="shared" si="31"/>
        <v>0.5</v>
      </c>
      <c r="BH5" s="5">
        <f t="shared" si="32"/>
        <v>6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4">
        <f t="shared" si="0"/>
        <v>10097</v>
      </c>
      <c r="B6" s="81" t="s">
        <v>29</v>
      </c>
      <c r="C6" s="98" t="s">
        <v>172</v>
      </c>
      <c r="D6" s="76"/>
      <c r="E6" s="75"/>
      <c r="F6" s="92">
        <f t="shared" si="9"/>
        <v>0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6"/>
      <c r="N6" s="76"/>
      <c r="O6" s="92">
        <f t="shared" si="12"/>
        <v>0</v>
      </c>
      <c r="P6" s="76"/>
      <c r="Q6" s="75"/>
      <c r="R6" s="92">
        <f t="shared" si="13"/>
        <v>0</v>
      </c>
      <c r="S6" s="75"/>
      <c r="T6" s="75"/>
      <c r="U6" s="92">
        <f t="shared" si="14"/>
        <v>0</v>
      </c>
      <c r="V6" s="75">
        <v>0.375</v>
      </c>
      <c r="W6" s="76">
        <v>0.77083333333333337</v>
      </c>
      <c r="X6" s="92">
        <f t="shared" si="15"/>
        <v>8.5</v>
      </c>
      <c r="Y6" s="92"/>
      <c r="Z6" s="92"/>
      <c r="AA6" s="92"/>
      <c r="AB6" s="96">
        <f t="shared" si="16"/>
        <v>8.5</v>
      </c>
      <c r="AC6" s="93"/>
      <c r="AD6" s="78">
        <v>40</v>
      </c>
      <c r="AE6" s="94">
        <f t="shared" si="17"/>
        <v>40</v>
      </c>
      <c r="AF6" s="78"/>
      <c r="AG6" s="94">
        <f t="shared" si="18"/>
        <v>0</v>
      </c>
      <c r="AH6" s="78">
        <v>1</v>
      </c>
      <c r="AI6" s="94">
        <f t="shared" si="19"/>
        <v>9.5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1</v>
      </c>
      <c r="AQ6" s="77"/>
      <c r="AR6" s="77"/>
      <c r="AS6" s="77"/>
      <c r="AT6" s="63">
        <f t="shared" si="24"/>
        <v>49.5</v>
      </c>
      <c r="AU6" s="78"/>
      <c r="AV6" s="5"/>
      <c r="AW6" s="5"/>
      <c r="AX6" s="5"/>
      <c r="AY6" s="5"/>
      <c r="AZ6" s="24">
        <f>VLOOKUP(C6,Employees!D:I,6,FALSE)</f>
        <v>10097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9.5</v>
      </c>
      <c r="CF6" s="5">
        <f t="shared" si="56"/>
        <v>1</v>
      </c>
      <c r="CG6" s="5">
        <f t="shared" si="57"/>
        <v>8.5</v>
      </c>
      <c r="CH6" s="5">
        <f t="shared" si="58"/>
        <v>0</v>
      </c>
      <c r="CI6" s="5">
        <f t="shared" si="59"/>
        <v>0</v>
      </c>
      <c r="CJ6" s="5"/>
      <c r="CK6" s="4">
        <f t="shared" si="8"/>
        <v>1</v>
      </c>
    </row>
    <row r="7" spans="1:89" ht="47" customHeight="1">
      <c r="A7" s="74">
        <f t="shared" si="0"/>
        <v>210513</v>
      </c>
      <c r="B7" s="81" t="s">
        <v>29</v>
      </c>
      <c r="C7" s="86" t="s">
        <v>1409</v>
      </c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6">
        <v>0.5625</v>
      </c>
      <c r="K7" s="75">
        <v>0.78333333333333333</v>
      </c>
      <c r="L7" s="92">
        <f t="shared" si="11"/>
        <v>5.3</v>
      </c>
      <c r="M7" s="76"/>
      <c r="N7" s="76"/>
      <c r="O7" s="92">
        <f t="shared" si="12"/>
        <v>0</v>
      </c>
      <c r="P7" s="76">
        <v>0.5625</v>
      </c>
      <c r="Q7" s="75">
        <v>0.77777777777777779</v>
      </c>
      <c r="R7" s="92">
        <f t="shared" si="13"/>
        <v>5.166666666666667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10.466666666666667</v>
      </c>
      <c r="AC7" s="93"/>
      <c r="AD7" s="78"/>
      <c r="AE7" s="94">
        <f t="shared" si="17"/>
        <v>10.466666666666667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2</v>
      </c>
      <c r="AQ7" s="77"/>
      <c r="AR7" s="77"/>
      <c r="AS7" s="77"/>
      <c r="AT7" s="63">
        <f t="shared" si="24"/>
        <v>10.466666666666667</v>
      </c>
      <c r="AU7" s="78"/>
      <c r="AV7" s="5"/>
      <c r="AW7" s="5"/>
      <c r="AX7" s="5"/>
      <c r="AY7" s="5"/>
      <c r="AZ7" s="24">
        <f>VLOOKUP(C7,Employees!D:I,6,FALSE)</f>
        <v>210513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5.3</v>
      </c>
      <c r="BL7" s="5">
        <f t="shared" si="36"/>
        <v>0</v>
      </c>
      <c r="BM7" s="5">
        <f t="shared" si="37"/>
        <v>5.3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5.166666666666667</v>
      </c>
      <c r="BV7" s="5">
        <f t="shared" si="46"/>
        <v>0</v>
      </c>
      <c r="BW7" s="5">
        <f t="shared" si="47"/>
        <v>5.166666666666667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2</v>
      </c>
    </row>
    <row r="8" spans="1:89" ht="47" customHeight="1">
      <c r="A8" s="74" t="str">
        <f t="shared" si="0"/>
        <v/>
      </c>
      <c r="B8" s="81"/>
      <c r="C8" s="86"/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6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6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6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I1" zoomScale="120" zoomScaleNormal="120" workbookViewId="0">
      <selection activeCell="I4" sqref="I4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10330</v>
      </c>
      <c r="B2" s="28">
        <f ca="1">IF(A2=0,"",_xlfn.NUMBERVALUE(A2))</f>
        <v>10330</v>
      </c>
      <c r="C2" s="28" t="str">
        <f ca="1">IF($A2=0,"",VLOOKUP($B2,Employees!$A:$G,2,FALSE))</f>
        <v>Winson</v>
      </c>
      <c r="D2" s="28" t="str">
        <f ca="1">IF($A2=0,"",VLOOKUP($B2,Employees!$A:$G,3,FALSE))</f>
        <v>Tan</v>
      </c>
      <c r="E2" s="26">
        <f ca="1">IF($A2=0,"",VLOOKUP($B2,Employees!$A:$G,5,FALSE))</f>
        <v>38171</v>
      </c>
      <c r="F2" s="13">
        <f ca="1">IF($E2="","",ROUNDDOWN(YEARFRAC($E2, 'Week 1 Roster'!$D$1-1, 1), 0))</f>
        <v>21</v>
      </c>
      <c r="G2" s="13">
        <f ca="1">IF($E2="","",ROUNDDOWN(YEARFRAC($E2, 'Week 1 Roster'!$D$1+14, 1), 0))</f>
        <v>21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Miranda</v>
      </c>
      <c r="L2" s="13" t="str">
        <f ca="1">IF($A2=0,"",VLOOKUP(K2,Stores!A:B,2,0))</f>
        <v>Superb</v>
      </c>
      <c r="M2" s="14">
        <f t="shared" ref="M2" ca="1" si="0">Y2+AK2</f>
        <v>39.99</v>
      </c>
      <c r="N2" s="14">
        <f t="shared" ref="N2" ca="1" si="1">Z2+AL2</f>
        <v>16.883333333333333</v>
      </c>
      <c r="O2" s="14">
        <f t="shared" ref="O2" ca="1" si="2">AA2+AM2</f>
        <v>13.000000000000002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8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69.873333333333335</v>
      </c>
      <c r="Y2" s="17">
        <f ca="1">IF($A2=0,0,SUMIF('Week 1 Roster'!$AZ:$AZ,$B2,'Week 1 Roster'!$AE:$AE))</f>
        <v>23.123333333333335</v>
      </c>
      <c r="Z2" s="17">
        <f ca="1">IF($A2=0,0,SUMIF('Week 1 Roster'!$AZ:$AZ,$B2,'Week 1 Roster'!$AG:$AG))</f>
        <v>8.4999999999999982</v>
      </c>
      <c r="AA2" s="17">
        <f ca="1">IF($A2=0,0,SUMIF('Week 1 Roster'!$AZ:$AZ,$B2,'Week 1 Roster'!$AI:$AI))</f>
        <v>6.5000000000000009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4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38.123333333333335</v>
      </c>
      <c r="AK2" s="17">
        <f ca="1">IF($A2=0,0,SUMIF('Week 2 Roster'!$AZ:$AZ,$B2,'Week 2 Roster'!$AE:$AE))</f>
        <v>16.866666666666667</v>
      </c>
      <c r="AL2" s="17">
        <f ca="1">IF($A2=0,0,SUMIF('Week 2 Roster'!$AZ:$AZ,$B2,'Week 2 Roster'!$AG:$AG))</f>
        <v>8.3833333333333329</v>
      </c>
      <c r="AM2" s="17">
        <f ca="1">IF($A2=0,0,SUMIF('Week 2 Roster'!$AZ:$AZ,$B2,'Week 2 Roster'!$AI:$AI))</f>
        <v>6.5000000000000009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31.75</v>
      </c>
      <c r="AV2" s="17"/>
      <c r="AW2" s="25">
        <f>'Week 1 Roster'!A2</f>
        <v>10330</v>
      </c>
      <c r="AX2" s="25">
        <f>'Week 2 Roster'!A2</f>
        <v>10330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10340</v>
      </c>
      <c r="B3" s="28">
        <f t="shared" ref="B3:B66" ca="1" si="9">IF(A3=0,"",_xlfn.NUMBERVALUE(A3))</f>
        <v>10340</v>
      </c>
      <c r="C3" s="28" t="str">
        <f ca="1">IF($A3=0,"",VLOOKUP($B3,Employees!$A:$G,2,FALSE))</f>
        <v>Rhea</v>
      </c>
      <c r="D3" s="28" t="str">
        <f ca="1">IF($A3=0,"",VLOOKUP($B3,Employees!$A:$G,3,FALSE))</f>
        <v>Chen</v>
      </c>
      <c r="E3" s="26">
        <f ca="1">IF($A3=0,"",VLOOKUP($B3,Employees!$A:$G,5,FALSE))</f>
        <v>38199</v>
      </c>
      <c r="F3" s="13">
        <f ca="1">IF($E3="","",ROUNDDOWN(YEARFRAC($E3, 'Week 1 Roster'!$D$1-1, 1), 0))</f>
        <v>21</v>
      </c>
      <c r="G3" s="13">
        <f ca="1">IF($E3="","",ROUNDDOWN(YEARFRAC($E3, 'Week 1 Roster'!$D$1+14, 1), 0))</f>
        <v>21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Miranda</v>
      </c>
      <c r="L3" s="13" t="str">
        <f ca="1">IF($A3=0,"",VLOOKUP(K3,Stores!A:B,2,0))</f>
        <v>Superb</v>
      </c>
      <c r="M3" s="14">
        <f t="shared" ref="M3:M66" ca="1" si="11">Y3+AK3</f>
        <v>20.399999999999999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2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20.399999999999999</v>
      </c>
      <c r="Y3" s="17">
        <f ca="1">IF($A3=0,0,SUMIF('Week 1 Roster'!$AZ:$AZ,$B3,'Week 1 Roster'!$AE:$AE))</f>
        <v>10.5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1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10.5</v>
      </c>
      <c r="AK3" s="17">
        <f ca="1">IF($A3=0,0,SUMIF('Week 2 Roster'!$AZ:$AZ,$B3,'Week 2 Roster'!$AE:$AE))</f>
        <v>9.9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1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9.9</v>
      </c>
      <c r="AV3" s="17"/>
      <c r="AW3" s="25">
        <f>'Week 1 Roster'!A3</f>
        <v>10340</v>
      </c>
      <c r="AX3" s="25">
        <f>'Week 2 Roster'!A3</f>
        <v>10340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10356</v>
      </c>
      <c r="B4" s="28">
        <f t="shared" ca="1" si="9"/>
        <v>10356</v>
      </c>
      <c r="C4" s="28" t="str">
        <f ca="1">IF($A4=0,"",VLOOKUP($B4,Employees!$A:$G,2,FALSE))</f>
        <v>Simona</v>
      </c>
      <c r="D4" s="28" t="str">
        <f ca="1">IF($A4=0,"",VLOOKUP($B4,Employees!$A:$G,3,FALSE))</f>
        <v>Bubici</v>
      </c>
      <c r="E4" s="26">
        <f ca="1">IF($A4=0,"",VLOOKUP($B4,Employees!$A:$G,5,FALSE))</f>
        <v>38070</v>
      </c>
      <c r="F4" s="13">
        <f ca="1">IF($E4="","",ROUNDDOWN(YEARFRAC($E4, 'Week 1 Roster'!$D$1-1, 1), 0))</f>
        <v>21</v>
      </c>
      <c r="G4" s="13">
        <f ca="1">IF($E4="","",ROUNDDOWN(YEARFRAC($E4, 'Week 1 Roster'!$D$1+14, 1), 0))</f>
        <v>21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Miranda</v>
      </c>
      <c r="L4" s="13" t="str">
        <f ca="1">IF($A4=0,"",VLOOKUP(K4,Stores!A:B,2,0))</f>
        <v>Superb</v>
      </c>
      <c r="M4" s="14">
        <f t="shared" ca="1" si="11"/>
        <v>34.65</v>
      </c>
      <c r="N4" s="14">
        <f t="shared" ca="1" si="12"/>
        <v>11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8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45.65</v>
      </c>
      <c r="Y4" s="17">
        <f ca="1">IF($A4=0,0,SUMIF('Week 1 Roster'!$AZ:$AZ,$B4,'Week 1 Roster'!$AE:$AE))</f>
        <v>17</v>
      </c>
      <c r="Z4" s="17">
        <f ca="1">IF($A4=0,0,SUMIF('Week 1 Roster'!$AZ:$AZ,$B4,'Week 1 Roster'!$AG:$AG))</f>
        <v>5.5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4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22.5</v>
      </c>
      <c r="AK4" s="17">
        <f ca="1">IF($A4=0,0,SUMIF('Week 2 Roster'!$AZ:$AZ,$B4,'Week 2 Roster'!$AE:$AE))</f>
        <v>17.649999999999999</v>
      </c>
      <c r="AL4" s="17">
        <f ca="1">IF($A4=0,0,SUMIF('Week 2 Roster'!$AZ:$AZ,$B4,'Week 2 Roster'!$AG:$AG))</f>
        <v>5.5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4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23.15</v>
      </c>
      <c r="AV4" s="17"/>
      <c r="AW4" s="25">
        <f>'Week 1 Roster'!A4</f>
        <v>10356</v>
      </c>
      <c r="AX4" s="25">
        <f>'Week 2 Roster'!A4</f>
        <v>10356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210458</v>
      </c>
      <c r="B5" s="28">
        <f t="shared" ca="1" si="9"/>
        <v>210458</v>
      </c>
      <c r="C5" s="28" t="str">
        <f ca="1">IF($A5=0,"",VLOOKUP($B5,Employees!$A:$G,2,FALSE))</f>
        <v>Jasmyne</v>
      </c>
      <c r="D5" s="28" t="str">
        <f ca="1">IF($A5=0,"",VLOOKUP($B5,Employees!$A:$G,3,FALSE))</f>
        <v>Seeto</v>
      </c>
      <c r="E5" s="26">
        <f ca="1">IF($A5=0,"",VLOOKUP($B5,Employees!$A:$G,5,FALSE))</f>
        <v>38493</v>
      </c>
      <c r="F5" s="13">
        <f ca="1">IF($E5="","",ROUNDDOWN(YEARFRAC($E5, 'Week 1 Roster'!$D$1-1, 1), 0))</f>
        <v>20</v>
      </c>
      <c r="G5" s="13">
        <f ca="1">IF($E5="","",ROUNDDOWN(YEARFRAC($E5, 'Week 1 Roster'!$D$1+14, 1), 0))</f>
        <v>20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Miranda</v>
      </c>
      <c r="L5" s="13" t="str">
        <f ca="1">IF($A5=0,"",VLOOKUP(K5,Stores!A:B,2,0))</f>
        <v>Superb</v>
      </c>
      <c r="M5" s="14">
        <f t="shared" ca="1" si="11"/>
        <v>23.783333333333331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4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23.783333333333331</v>
      </c>
      <c r="Y5" s="17">
        <f ca="1">IF($A5=0,0,SUMIF('Week 1 Roster'!$AZ:$AZ,$B5,'Week 1 Roster'!$AE:$AE))</f>
        <v>12.066666666666666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2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12.066666666666666</v>
      </c>
      <c r="AK5" s="17">
        <f ca="1">IF($A5=0,0,SUMIF('Week 2 Roster'!$AZ:$AZ,$B5,'Week 2 Roster'!$AE:$AE))</f>
        <v>11.716666666666667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2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11.716666666666667</v>
      </c>
      <c r="AV5" s="17"/>
      <c r="AW5" s="25">
        <f>'Week 1 Roster'!A5</f>
        <v>210458</v>
      </c>
      <c r="AX5" s="25">
        <f>'Week 2 Roster'!A5</f>
        <v>210458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10097</v>
      </c>
      <c r="B6" s="28">
        <f t="shared" ca="1" si="9"/>
        <v>10097</v>
      </c>
      <c r="C6" s="28" t="str">
        <f ca="1">IF($A6=0,"",VLOOKUP($B6,Employees!$A:$G,2,FALSE))</f>
        <v>Jie</v>
      </c>
      <c r="D6" s="28" t="str">
        <f ca="1">IF($A6=0,"",VLOOKUP($B6,Employees!$A:$G,3,FALSE))</f>
        <v>Wei</v>
      </c>
      <c r="E6" s="26">
        <f ca="1">IF($A6=0,"",VLOOKUP($B6,Employees!$A:$G,5,FALSE))</f>
        <v>32547</v>
      </c>
      <c r="F6" s="13">
        <f ca="1">IF($E6="","",ROUNDDOWN(YEARFRAC($E6, 'Week 1 Roster'!$D$1-1, 1), 0))</f>
        <v>36</v>
      </c>
      <c r="G6" s="13">
        <f ca="1">IF($E6="","",ROUNDDOWN(YEARFRAC($E6, 'Week 1 Roster'!$D$1+14, 1), 0))</f>
        <v>36</v>
      </c>
      <c r="H6" s="13" t="b">
        <f t="shared" ca="1" si="10"/>
        <v>0</v>
      </c>
      <c r="I6" s="13">
        <f ca="1">IF($A6=0,"",VLOOKUP($B6,Employees!$A:$G,6,FALSE))</f>
        <v>100</v>
      </c>
      <c r="J6" s="13" t="str">
        <f ca="1">IF($A6=0,"",VLOOKUP($B6,Employees!$A:$G,7,FALSE))</f>
        <v>HL</v>
      </c>
      <c r="K6" s="13" t="str">
        <f ca="1">IF($A6=0,"",IF(ISNA(VLOOKUP(A6,'Week 1 Roster'!A:C,2,0)),VLOOKUP(A6,'Week 2 Roster'!A:C,2,0),VLOOKUP(A6,'Week 1 Roster'!A:C,2,0)))</f>
        <v>Miranda</v>
      </c>
      <c r="L6" s="13" t="str">
        <f ca="1">IF($A6=0,"",VLOOKUP(K6,Stores!A:B,2,0))</f>
        <v>Superb</v>
      </c>
      <c r="M6" s="14">
        <f t="shared" ca="1" si="11"/>
        <v>81</v>
      </c>
      <c r="N6" s="14">
        <f t="shared" ca="1" si="12"/>
        <v>0</v>
      </c>
      <c r="O6" s="14">
        <f t="shared" ca="1" si="13"/>
        <v>19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2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100</v>
      </c>
      <c r="Y6" s="17">
        <f ca="1">IF($A6=0,0,SUMIF('Week 1 Roster'!$AZ:$AZ,$B6,'Week 1 Roster'!$AE:$AE))</f>
        <v>41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9.5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1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50.5</v>
      </c>
      <c r="AK6" s="17">
        <f ca="1">IF($A6=0,0,SUMIF('Week 2 Roster'!$AZ:$AZ,$B6,'Week 2 Roster'!$AE:$AE))</f>
        <v>40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9.5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1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49.5</v>
      </c>
      <c r="AV6" s="17"/>
      <c r="AW6" s="25">
        <f>'Week 1 Roster'!A6</f>
        <v>10097</v>
      </c>
      <c r="AX6" s="25">
        <f>'Week 2 Roster'!A6</f>
        <v>10097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210513</v>
      </c>
      <c r="B7" s="28">
        <f t="shared" ca="1" si="9"/>
        <v>210513</v>
      </c>
      <c r="C7" s="28" t="str">
        <f ca="1">IF($A7=0,"",VLOOKUP($B7,Employees!$A:$G,2,FALSE))</f>
        <v>Haji</v>
      </c>
      <c r="D7" s="28" t="str">
        <f ca="1">IF($A7=0,"",VLOOKUP($B7,Employees!$A:$G,3,FALSE))</f>
        <v>Myrteza</v>
      </c>
      <c r="E7" s="26">
        <f ca="1">IF($A7=0,"",VLOOKUP($B7,Employees!$A:$G,5,FALSE))</f>
        <v>34210</v>
      </c>
      <c r="F7" s="13">
        <f ca="1">IF($E7="","",ROUNDDOWN(YEARFRAC($E7, 'Week 1 Roster'!$D$1-1, 1), 0))</f>
        <v>32</v>
      </c>
      <c r="G7" s="13">
        <f ca="1">IF($E7="","",ROUNDDOWN(YEARFRAC($E7, 'Week 1 Roster'!$D$1+14, 1), 0))</f>
        <v>32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Win</v>
      </c>
      <c r="K7" s="13" t="str">
        <f ca="1">IF($A7=0,"",IF(ISNA(VLOOKUP(A7,'Week 1 Roster'!A:C,2,0)),VLOOKUP(A7,'Week 2 Roster'!A:C,2,0),VLOOKUP(A7,'Week 1 Roster'!A:C,2,0)))</f>
        <v>Miranda</v>
      </c>
      <c r="L7" s="13" t="str">
        <f ca="1">IF($A7=0,"",VLOOKUP(K7,Stores!A:B,2,0))</f>
        <v>Superb</v>
      </c>
      <c r="M7" s="14">
        <f t="shared" ca="1" si="11"/>
        <v>21.383333333333333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0.33333333333333481</v>
      </c>
      <c r="R7" s="14">
        <f t="shared" ca="1" si="16"/>
        <v>0</v>
      </c>
      <c r="S7" s="28">
        <f t="shared" ca="1" si="17"/>
        <v>4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21.716666666666669</v>
      </c>
      <c r="Y7" s="17">
        <f ca="1">IF($A7=0,0,SUMIF('Week 1 Roster'!$AZ:$AZ,$B7,'Week 1 Roster'!$AE:$AE))</f>
        <v>10.916666666666664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0.33333333333333481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2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11.25</v>
      </c>
      <c r="AK7" s="17">
        <f ca="1">IF($A7=0,0,SUMIF('Week 2 Roster'!$AZ:$AZ,$B7,'Week 2 Roster'!$AE:$AE))</f>
        <v>10.466666666666667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2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10.466666666666667</v>
      </c>
      <c r="AV7" s="17"/>
      <c r="AW7" s="25">
        <f>'Week 1 Roster'!A7</f>
        <v>210513</v>
      </c>
      <c r="AX7" s="25">
        <f>'Week 2 Roster'!A7</f>
        <v>210513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04" zoomScale="186" zoomScaleNormal="186" workbookViewId="0">
      <selection activeCell="D514" sqref="D514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fCWOh3EEH/jaBVeAgBxVk5lQ71Aedn5rEbxoLMAbPFgrbJoC4S64sGL1r1+qxMd9T3an/ldITF8wSMf/wZliBA==" saltValue="EeMdznbBQmI6mvMzVSVInw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2025-11-10T04:58:24Z</dcterms:modified>
</cp:coreProperties>
</file>